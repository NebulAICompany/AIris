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idmsfile1\BGM\DIZ\ortak-diz\1-ZORUNLU KARŞILIK_MENKUL KIYMET TESİSİ\Internet_Verileri\ZK_Veri_Seti\"/>
    </mc:Choice>
  </mc:AlternateContent>
  <xr:revisionPtr revIDLastSave="0" documentId="13_ncr:1_{81E1FF0E-C55D-4517-ACC3-4A98B3E3A847}" xr6:coauthVersionLast="47" xr6:coauthVersionMax="47" xr10:uidLastSave="{00000000-0000-0000-0000-000000000000}"/>
  <bookViews>
    <workbookView xWindow="-120" yWindow="-120" windowWidth="29040" windowHeight="15720" tabRatio="732" activeTab="5" xr2:uid="{00000000-000D-0000-FFFF-FFFF00000000}"/>
  </bookViews>
  <sheets>
    <sheet name="TLZK Kal" sheetId="1" r:id="rId1"/>
    <sheet name="YPZK Kal" sheetId="4" r:id="rId2"/>
    <sheet name="TLZK Tesis" sheetId="2" r:id="rId3"/>
    <sheet name="YPZK Tesis" sheetId="5" r:id="rId4"/>
    <sheet name="ROM Kullanımı" sheetId="16" r:id="rId5"/>
    <sheet name="ZK Ağırlıklı Ortalama Oran" sheetId="15" r:id="rId6"/>
  </sheets>
  <definedNames>
    <definedName name="K9101992">'ZK Ağırlıklı Ortalama Oran'!$I$91227</definedName>
    <definedName name="_xlnm.Print_Area" localSheetId="4">'ROM Kullanımı'!$A$1:$I$311</definedName>
    <definedName name="_xlnm.Print_Area" localSheetId="0">'TLZK Kal'!$A$1:$Q$373</definedName>
    <definedName name="_xlnm.Print_Area" localSheetId="2">'TLZK Tesis'!$A$1:$H$362</definedName>
    <definedName name="_xlnm.Print_Area" localSheetId="1">'YPZK Kal'!$A$1:$Q$373</definedName>
    <definedName name="_xlnm.Print_Area" localSheetId="3">'YPZK Tesis'!$A$1:$H$358</definedName>
    <definedName name="_xlnm.Print_Area" localSheetId="5">'ZK Ağırlıklı Ortalama Oran'!$A$1:$E$377</definedName>
    <definedName name="_xlnm.Print_Titles" localSheetId="4">'ROM Kullanımı'!$2:$2</definedName>
    <definedName name="_xlnm.Print_Titles" localSheetId="0">'TLZK Kal'!$121:$121</definedName>
    <definedName name="_xlnm.Print_Titles" localSheetId="2">'TLZK Tesis'!$2:$2</definedName>
    <definedName name="_xlnm.Print_Titles" localSheetId="1">'YPZK Kal'!$121:$121</definedName>
    <definedName name="_xlnm.Print_Titles" localSheetId="3">'YPZK Tesis'!$2:$2</definedName>
    <definedName name="_xlnm.Print_Titles" localSheetId="5">'ZK Ağırlıklı Ortalama Oran'!$2:$2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3" i="1" l="1"/>
  <c r="D363" i="4"/>
  <c r="A357" i="5"/>
  <c r="B357" i="5"/>
  <c r="C357" i="5"/>
  <c r="D362" i="1" l="1"/>
  <c r="D362" i="4"/>
  <c r="A356" i="5"/>
  <c r="B356" i="5"/>
  <c r="C356" i="5"/>
  <c r="D361" i="4" l="1"/>
  <c r="D361" i="1"/>
  <c r="A355" i="5"/>
  <c r="B355" i="5"/>
  <c r="C355" i="5"/>
  <c r="D360" i="4" l="1"/>
  <c r="D360" i="1"/>
  <c r="A354" i="5"/>
  <c r="B354" i="5"/>
  <c r="C354" i="5"/>
  <c r="D359" i="4" l="1"/>
  <c r="D359" i="1"/>
  <c r="A353" i="5"/>
  <c r="B353" i="5"/>
  <c r="C353" i="5"/>
  <c r="D358" i="1" l="1"/>
  <c r="D358" i="4"/>
  <c r="A352" i="5"/>
  <c r="B352" i="5"/>
  <c r="C352" i="5"/>
  <c r="D357" i="1" l="1"/>
  <c r="D357" i="4"/>
  <c r="A351" i="5"/>
  <c r="B351" i="5"/>
  <c r="C351" i="5"/>
  <c r="D356" i="4" l="1"/>
  <c r="D356" i="1"/>
  <c r="A350" i="5"/>
  <c r="B350" i="5"/>
  <c r="C350" i="5"/>
  <c r="A349" i="5" l="1"/>
  <c r="B349" i="5"/>
  <c r="C349" i="5"/>
  <c r="D355" i="4"/>
  <c r="D355" i="1"/>
  <c r="D354" i="4" l="1"/>
  <c r="D354" i="1"/>
  <c r="A348" i="5" l="1"/>
  <c r="B348" i="5"/>
  <c r="C348" i="5"/>
  <c r="D353" i="4" l="1"/>
  <c r="D353" i="1"/>
  <c r="A347" i="5"/>
  <c r="B347" i="5"/>
  <c r="C347" i="5"/>
  <c r="D352" i="4" l="1"/>
  <c r="D352" i="1"/>
  <c r="A346" i="5"/>
  <c r="B346" i="5"/>
  <c r="C346" i="5"/>
  <c r="D351" i="4" l="1"/>
  <c r="D351" i="1"/>
  <c r="A345" i="5"/>
  <c r="B345" i="5"/>
  <c r="C345" i="5"/>
  <c r="D350" i="4" l="1"/>
  <c r="D350" i="1"/>
  <c r="A344" i="5"/>
  <c r="B344" i="5"/>
  <c r="C344" i="5"/>
  <c r="A343" i="5" l="1"/>
  <c r="B343" i="5"/>
  <c r="C343" i="5"/>
  <c r="D349" i="4"/>
  <c r="D349" i="1"/>
  <c r="A342" i="5" l="1"/>
  <c r="B342" i="5"/>
  <c r="C342" i="5"/>
  <c r="D348" i="4"/>
  <c r="D348" i="1"/>
  <c r="A341" i="5" l="1"/>
  <c r="B341" i="5"/>
  <c r="C341" i="5"/>
  <c r="D347" i="4"/>
  <c r="D347" i="1"/>
  <c r="D346" i="4" l="1"/>
  <c r="D346" i="1"/>
  <c r="A340" i="5"/>
  <c r="B340" i="5"/>
  <c r="C340" i="5"/>
  <c r="D345" i="4" l="1"/>
  <c r="D345" i="1"/>
  <c r="A339" i="5"/>
  <c r="B339" i="5"/>
  <c r="C339" i="5"/>
  <c r="D344" i="4" l="1"/>
  <c r="D344" i="1" l="1"/>
  <c r="A338" i="5"/>
  <c r="B338" i="5"/>
  <c r="C338" i="5"/>
  <c r="D343" i="4" l="1"/>
  <c r="D343" i="1"/>
  <c r="A337" i="5"/>
  <c r="B337" i="5"/>
  <c r="C337" i="5"/>
  <c r="D342" i="4" l="1"/>
  <c r="A336" i="5" l="1"/>
  <c r="B336" i="5"/>
  <c r="C336" i="5"/>
  <c r="D342" i="1"/>
  <c r="D341" i="1" l="1"/>
  <c r="D339" i="4"/>
  <c r="A335" i="5"/>
  <c r="B335" i="5"/>
  <c r="C335" i="5"/>
  <c r="A334" i="5" l="1"/>
  <c r="B334" i="5"/>
  <c r="C334" i="5"/>
  <c r="D338" i="4"/>
  <c r="D340" i="1"/>
  <c r="A333" i="5" l="1"/>
  <c r="B333" i="5"/>
  <c r="C333" i="5"/>
  <c r="D339" i="1"/>
  <c r="D337" i="4"/>
  <c r="D336" i="4" l="1"/>
  <c r="D338" i="1"/>
  <c r="A332" i="5"/>
  <c r="B332" i="5"/>
  <c r="C332" i="5"/>
  <c r="A331" i="5" l="1"/>
  <c r="B331" i="5"/>
  <c r="C331" i="5"/>
  <c r="D337" i="1"/>
  <c r="D335" i="4"/>
  <c r="D334" i="4" l="1"/>
  <c r="D336" i="1"/>
  <c r="A330" i="5"/>
  <c r="B330" i="5"/>
  <c r="C330" i="5"/>
  <c r="A329" i="5" l="1"/>
  <c r="B329" i="5"/>
  <c r="C329" i="5"/>
  <c r="D333" i="4" l="1"/>
  <c r="D335" i="1"/>
  <c r="A328" i="5" l="1"/>
  <c r="B328" i="5"/>
  <c r="C328" i="5"/>
  <c r="D332" i="4"/>
  <c r="D334" i="1"/>
  <c r="D331" i="4" l="1"/>
  <c r="D333" i="1"/>
  <c r="D332" i="1" l="1"/>
  <c r="D330" i="4" l="1"/>
  <c r="A326" i="5"/>
  <c r="B326" i="5"/>
  <c r="C326" i="5"/>
  <c r="D329" i="4" l="1"/>
  <c r="D331" i="1"/>
  <c r="D330" i="1" l="1"/>
  <c r="D328" i="4" l="1"/>
  <c r="A324" i="5"/>
  <c r="B324" i="5"/>
  <c r="C324" i="5"/>
  <c r="D327" i="4" l="1"/>
  <c r="D329" i="1"/>
  <c r="A323" i="5"/>
  <c r="B323" i="5"/>
  <c r="C323" i="5"/>
  <c r="D326" i="4" l="1"/>
  <c r="D328" i="1" l="1"/>
  <c r="A322" i="5"/>
  <c r="B322" i="5"/>
  <c r="C322" i="5"/>
  <c r="A321" i="5" l="1"/>
  <c r="B321" i="5"/>
  <c r="C321" i="5"/>
  <c r="D327" i="1"/>
  <c r="D325" i="4"/>
  <c r="D326" i="1" l="1"/>
  <c r="D324" i="4" l="1"/>
  <c r="A320" i="5"/>
  <c r="B320" i="5"/>
  <c r="C320" i="5"/>
  <c r="D323" i="4" l="1"/>
  <c r="D325" i="1"/>
  <c r="A319" i="5"/>
  <c r="B319" i="5"/>
  <c r="C319" i="5"/>
  <c r="D322" i="4" l="1"/>
  <c r="D324" i="1"/>
  <c r="A318" i="5"/>
  <c r="B318" i="5"/>
  <c r="C318" i="5"/>
  <c r="D321" i="4" l="1"/>
  <c r="D323" i="1"/>
  <c r="A317" i="5"/>
  <c r="B317" i="5"/>
  <c r="C317" i="5"/>
  <c r="A316" i="5" l="1"/>
  <c r="B316" i="5"/>
  <c r="C316" i="5"/>
  <c r="D320" i="4"/>
  <c r="D322" i="1"/>
  <c r="D319" i="4" l="1"/>
  <c r="D321" i="1"/>
  <c r="A315" i="5"/>
  <c r="B315" i="5"/>
  <c r="C315" i="5"/>
  <c r="A314" i="5" l="1"/>
  <c r="B314" i="5"/>
  <c r="C314" i="5"/>
  <c r="D318" i="4"/>
  <c r="D320" i="1"/>
  <c r="D317" i="4" l="1"/>
  <c r="D319" i="1"/>
  <c r="A313" i="5"/>
  <c r="B313" i="5"/>
  <c r="C313" i="5"/>
  <c r="A312" i="5" l="1"/>
  <c r="B312" i="5"/>
  <c r="C312" i="5"/>
  <c r="D316" i="4"/>
  <c r="D318" i="1" l="1"/>
  <c r="A311" i="5" l="1"/>
  <c r="B311" i="5"/>
  <c r="C311" i="5"/>
  <c r="D315" i="4" l="1"/>
  <c r="D317" i="1"/>
  <c r="D316" i="1" l="1"/>
  <c r="D314" i="4"/>
  <c r="A310" i="5"/>
  <c r="B310" i="5"/>
  <c r="C310" i="5"/>
  <c r="D313" i="4" l="1"/>
  <c r="D315" i="1"/>
  <c r="A309" i="5"/>
  <c r="B309" i="5"/>
  <c r="C309" i="5"/>
  <c r="D312" i="4" l="1"/>
  <c r="D314" i="1"/>
  <c r="A308" i="5"/>
  <c r="B308" i="5"/>
  <c r="C308" i="5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313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C307" i="5" l="1"/>
  <c r="B307" i="5"/>
  <c r="A307" i="5"/>
  <c r="A306" i="5" l="1"/>
  <c r="B306" i="5"/>
  <c r="C306" i="5"/>
  <c r="A305" i="5" l="1"/>
  <c r="B305" i="5"/>
  <c r="C305" i="5"/>
  <c r="A304" i="5" l="1"/>
  <c r="B304" i="5"/>
  <c r="C304" i="5"/>
  <c r="A303" i="5" l="1"/>
  <c r="B303" i="5"/>
  <c r="C303" i="5"/>
  <c r="A302" i="5" l="1"/>
  <c r="B302" i="5"/>
  <c r="C302" i="5"/>
  <c r="A301" i="5" l="1"/>
  <c r="B301" i="5"/>
  <c r="C301" i="5"/>
  <c r="A300" i="5" l="1"/>
  <c r="B300" i="5"/>
  <c r="C300" i="5"/>
  <c r="A299" i="5" l="1"/>
  <c r="B299" i="5"/>
  <c r="C299" i="5"/>
  <c r="A298" i="5" l="1"/>
  <c r="B298" i="5"/>
  <c r="C298" i="5"/>
  <c r="A297" i="5" l="1"/>
  <c r="B297" i="5"/>
  <c r="C297" i="5"/>
  <c r="A296" i="5" l="1"/>
  <c r="B296" i="5"/>
  <c r="C296" i="5"/>
  <c r="B295" i="5" l="1"/>
  <c r="C295" i="5"/>
  <c r="A295" i="5"/>
  <c r="A294" i="5" l="1"/>
  <c r="B294" i="5"/>
  <c r="C294" i="5"/>
  <c r="A280" i="5" l="1"/>
  <c r="B280" i="5"/>
  <c r="C280" i="5"/>
  <c r="A281" i="5"/>
  <c r="B281" i="5"/>
  <c r="C281" i="5"/>
  <c r="A282" i="5"/>
  <c r="B282" i="5"/>
  <c r="C282" i="5"/>
  <c r="A283" i="5"/>
  <c r="B283" i="5"/>
  <c r="C283" i="5"/>
  <c r="A284" i="5"/>
  <c r="B284" i="5"/>
  <c r="C284" i="5"/>
  <c r="A285" i="5"/>
  <c r="B285" i="5"/>
  <c r="C285" i="5"/>
  <c r="A286" i="5"/>
  <c r="B286" i="5"/>
  <c r="C286" i="5"/>
  <c r="A287" i="5"/>
  <c r="B287" i="5"/>
  <c r="C287" i="5"/>
  <c r="A288" i="5"/>
  <c r="B288" i="5"/>
  <c r="C288" i="5"/>
  <c r="A289" i="5"/>
  <c r="B289" i="5"/>
  <c r="C289" i="5"/>
  <c r="A290" i="5"/>
  <c r="B290" i="5"/>
  <c r="C290" i="5"/>
  <c r="A291" i="5"/>
  <c r="B291" i="5"/>
  <c r="C291" i="5"/>
  <c r="A292" i="5"/>
  <c r="B292" i="5"/>
  <c r="C292" i="5"/>
  <c r="A293" i="5"/>
  <c r="B293" i="5"/>
  <c r="C293" i="5"/>
  <c r="A279" i="5" l="1"/>
  <c r="B279" i="5"/>
  <c r="C279" i="5"/>
  <c r="A278" i="5" l="1"/>
  <c r="B278" i="5"/>
  <c r="C278" i="5"/>
  <c r="A277" i="5" l="1"/>
  <c r="B277" i="5"/>
  <c r="C277" i="5"/>
  <c r="A276" i="5" l="1"/>
  <c r="B276" i="5"/>
  <c r="C276" i="5"/>
  <c r="A275" i="5" l="1"/>
  <c r="B275" i="5"/>
  <c r="C275" i="5"/>
  <c r="A274" i="5" l="1"/>
  <c r="B274" i="5"/>
  <c r="C274" i="5"/>
  <c r="A273" i="5" l="1"/>
  <c r="B273" i="5"/>
  <c r="C273" i="5"/>
  <c r="C272" i="5" l="1"/>
  <c r="C271" i="5"/>
  <c r="B272" i="5"/>
  <c r="B271" i="5"/>
  <c r="A272" i="5"/>
  <c r="A271" i="5"/>
  <c r="A270" i="5"/>
  <c r="B270" i="5"/>
  <c r="C270" i="5"/>
  <c r="C268" i="5" l="1"/>
  <c r="B268" i="5"/>
  <c r="A268" i="5"/>
  <c r="B269" i="5" l="1"/>
  <c r="C269" i="5"/>
  <c r="A269" i="5" l="1"/>
  <c r="A266" i="5"/>
  <c r="B266" i="5"/>
  <c r="C266" i="5"/>
  <c r="A265" i="5" l="1"/>
  <c r="B265" i="5"/>
  <c r="C265" i="5"/>
  <c r="B263" i="5" l="1"/>
  <c r="C263" i="5"/>
  <c r="A263" i="5"/>
  <c r="A264" i="5"/>
  <c r="B264" i="5"/>
  <c r="C264" i="5"/>
  <c r="C262" i="5" l="1"/>
  <c r="A262" i="5"/>
  <c r="B262" i="5"/>
  <c r="A261" i="5" l="1"/>
  <c r="B261" i="5"/>
  <c r="C261" i="5"/>
  <c r="B260" i="5" l="1"/>
  <c r="A260" i="5"/>
  <c r="C260" i="5"/>
  <c r="C259" i="5" l="1"/>
  <c r="B259" i="5"/>
  <c r="A259" i="5"/>
  <c r="C258" i="5" l="1"/>
  <c r="B258" i="5"/>
  <c r="A258" i="5"/>
  <c r="B257" i="5" l="1"/>
  <c r="A257" i="5"/>
  <c r="C257" i="5"/>
  <c r="C255" i="5" l="1"/>
  <c r="B255" i="5"/>
  <c r="A255" i="5"/>
  <c r="B256" i="5" l="1"/>
  <c r="A256" i="5"/>
  <c r="C256" i="5"/>
  <c r="B253" i="5" l="1"/>
  <c r="A253" i="5"/>
  <c r="C253" i="5"/>
  <c r="A254" i="5" l="1"/>
  <c r="C254" i="5"/>
  <c r="B254" i="5"/>
  <c r="C252" i="5" l="1"/>
  <c r="B252" i="5"/>
  <c r="A252" i="5"/>
  <c r="A251" i="5" l="1"/>
  <c r="B251" i="5"/>
  <c r="C251" i="5"/>
  <c r="C248" i="5"/>
  <c r="B248" i="5"/>
  <c r="A248" i="5"/>
  <c r="C250" i="5" l="1"/>
  <c r="A250" i="5"/>
  <c r="B250" i="5"/>
  <c r="B249" i="5" l="1"/>
  <c r="A249" i="5"/>
  <c r="C249" i="5"/>
  <c r="A247" i="5" l="1"/>
  <c r="C247" i="5"/>
  <c r="B247" i="5"/>
  <c r="C246" i="5" l="1"/>
  <c r="B246" i="5"/>
  <c r="A246" i="5"/>
  <c r="A244" i="5"/>
  <c r="B244" i="5"/>
  <c r="C244" i="5"/>
  <c r="C245" i="5" l="1"/>
  <c r="A245" i="5"/>
  <c r="B245" i="5"/>
  <c r="A243" i="5"/>
  <c r="B243" i="5"/>
  <c r="C243" i="5"/>
  <c r="A242" i="5" l="1"/>
  <c r="B242" i="5"/>
  <c r="C242" i="5"/>
  <c r="A241" i="5" l="1"/>
  <c r="B241" i="5"/>
  <c r="C241" i="5"/>
  <c r="B238" i="5" l="1"/>
  <c r="C238" i="5"/>
  <c r="B239" i="5"/>
  <c r="C239" i="5"/>
  <c r="B240" i="5"/>
  <c r="C240" i="5"/>
  <c r="A238" i="5"/>
  <c r="A239" i="5"/>
  <c r="A240" i="5"/>
  <c r="C237" i="5" l="1"/>
  <c r="B237" i="5"/>
  <c r="A237" i="5"/>
  <c r="C236" i="5" l="1"/>
  <c r="B236" i="5"/>
  <c r="A236" i="5"/>
  <c r="A235" i="5" l="1"/>
  <c r="C235" i="5"/>
  <c r="B235" i="5"/>
  <c r="C234" i="5" l="1"/>
  <c r="A234" i="5"/>
  <c r="B234" i="5"/>
  <c r="C233" i="5" l="1"/>
  <c r="B233" i="5"/>
  <c r="A233" i="5"/>
  <c r="C232" i="5"/>
  <c r="B232" i="5"/>
  <c r="A232" i="5"/>
  <c r="C231" i="5" l="1"/>
  <c r="A231" i="5"/>
  <c r="B231" i="5"/>
  <c r="C230" i="5" l="1"/>
  <c r="B230" i="5"/>
  <c r="A230" i="5"/>
  <c r="C229" i="5" l="1"/>
  <c r="B229" i="5"/>
  <c r="A229" i="5"/>
  <c r="C228" i="5" l="1"/>
  <c r="B228" i="5"/>
  <c r="A228" i="5"/>
  <c r="C227" i="5" l="1"/>
  <c r="A227" i="5"/>
  <c r="B227" i="5"/>
  <c r="C226" i="5" l="1"/>
  <c r="B226" i="5"/>
  <c r="B225" i="5" l="1"/>
  <c r="A225" i="5"/>
  <c r="C225" i="5"/>
  <c r="A226" i="5"/>
  <c r="C224" i="5" l="1"/>
  <c r="A224" i="5"/>
  <c r="B224" i="5"/>
  <c r="B223" i="5" l="1"/>
  <c r="A223" i="5"/>
  <c r="C223" i="5"/>
  <c r="C222" i="5" l="1"/>
  <c r="B222" i="5"/>
  <c r="A222" i="5"/>
  <c r="A221" i="5" l="1"/>
  <c r="C221" i="5"/>
  <c r="B221" i="5"/>
  <c r="A220" i="5" l="1"/>
  <c r="C220" i="5"/>
  <c r="B220" i="5"/>
  <c r="A210" i="5" l="1"/>
  <c r="A209" i="5" l="1"/>
  <c r="A208" i="5" l="1"/>
  <c r="A207" i="5" l="1"/>
  <c r="A206" i="5" l="1"/>
  <c r="A205" i="5" l="1"/>
  <c r="A204" i="5" l="1"/>
  <c r="A202" i="5" l="1"/>
  <c r="A201" i="5" l="1"/>
  <c r="A200" i="5" l="1"/>
  <c r="A199" i="5" l="1"/>
  <c r="A198" i="5"/>
  <c r="A197" i="5"/>
  <c r="A196" i="5" l="1"/>
  <c r="A195" i="5" l="1"/>
  <c r="A194" i="5" l="1"/>
  <c r="A193" i="5" l="1"/>
  <c r="A192" i="5" l="1"/>
  <c r="A190" i="5" l="1"/>
  <c r="A191" i="5" l="1"/>
  <c r="A188" i="5" l="1"/>
  <c r="A189" i="5" l="1"/>
  <c r="A185" i="5" l="1"/>
  <c r="A187" i="5" l="1"/>
  <c r="A184" i="5" l="1"/>
  <c r="A183" i="5" l="1"/>
  <c r="A182" i="5" l="1"/>
  <c r="A181" i="5" l="1"/>
  <c r="A180" i="5" l="1"/>
  <c r="A177" i="5" l="1"/>
  <c r="A178" i="5"/>
  <c r="A179" i="5"/>
  <c r="A176" i="5" l="1"/>
  <c r="A175" i="5" l="1"/>
  <c r="A174" i="5" l="1"/>
  <c r="A173" i="5" l="1"/>
  <c r="A172" i="5" l="1"/>
  <c r="A171" i="5" l="1"/>
  <c r="A169" i="5" l="1"/>
  <c r="A170" i="5"/>
  <c r="A168" i="5" l="1"/>
  <c r="A167" i="5" l="1"/>
  <c r="A166" i="5" l="1"/>
  <c r="A165" i="5" l="1"/>
  <c r="A164" i="5" l="1"/>
  <c r="A163" i="5" l="1"/>
  <c r="A162" i="5" l="1"/>
  <c r="A160" i="5" l="1"/>
  <c r="A161" i="5" l="1"/>
  <c r="A159" i="5" l="1"/>
  <c r="A158" i="5" l="1"/>
  <c r="A157" i="5" l="1"/>
  <c r="A156" i="5" l="1"/>
  <c r="A155" i="5" l="1"/>
  <c r="A154" i="5" l="1"/>
  <c r="A153" i="5" l="1"/>
  <c r="A152" i="5" l="1"/>
  <c r="A151" i="5" l="1"/>
  <c r="A150" i="5" l="1"/>
  <c r="A148" i="5" l="1"/>
  <c r="A149" i="5"/>
  <c r="A147" i="5" l="1"/>
  <c r="A146" i="5" l="1"/>
  <c r="A145" i="5" l="1"/>
  <c r="A144" i="5" l="1"/>
  <c r="A143" i="5" l="1"/>
  <c r="A142" i="5" l="1"/>
  <c r="A141" i="5" l="1"/>
  <c r="A140" i="5" l="1"/>
  <c r="A139" i="5" l="1"/>
  <c r="A138" i="5" l="1"/>
  <c r="A137" i="5" l="1"/>
  <c r="A136" i="5" l="1"/>
  <c r="A135" i="5" l="1"/>
  <c r="A134" i="5" l="1"/>
  <c r="A133" i="5" l="1"/>
  <c r="A132" i="5" l="1"/>
  <c r="A131" i="5" l="1"/>
  <c r="A130" i="5" l="1"/>
  <c r="A129" i="5" l="1"/>
  <c r="A128" i="5" l="1"/>
  <c r="A127" i="5" l="1"/>
  <c r="A126" i="5" l="1"/>
  <c r="A125" i="5" l="1"/>
  <c r="A124" i="5" l="1"/>
  <c r="A123" i="5" l="1"/>
  <c r="A122" i="5" l="1"/>
  <c r="A121" i="5" l="1"/>
  <c r="A120" i="5" l="1"/>
  <c r="A119" i="5" l="1"/>
  <c r="A118" i="5" l="1"/>
  <c r="A117" i="5" l="1"/>
  <c r="A116" i="5" l="1"/>
  <c r="A115" i="5" l="1"/>
  <c r="A114" i="5" l="1"/>
  <c r="A113" i="5" l="1"/>
  <c r="A112" i="5" l="1"/>
  <c r="A111" i="5" l="1"/>
  <c r="A110" i="5" l="1"/>
  <c r="A109" i="5" l="1"/>
  <c r="A108" i="5" l="1"/>
  <c r="A107" i="5" l="1"/>
  <c r="A106" i="5" l="1"/>
  <c r="A105" i="5" l="1"/>
  <c r="A103" i="5" l="1"/>
  <c r="A104" i="5" l="1"/>
  <c r="A102" i="5" l="1"/>
  <c r="A100" i="5" l="1"/>
  <c r="A101" i="5" l="1"/>
  <c r="A98" i="5" l="1"/>
  <c r="A97" i="5" l="1"/>
  <c r="A99" i="5" l="1"/>
  <c r="A95" i="5" l="1"/>
  <c r="A96" i="5"/>
  <c r="A94" i="5"/>
  <c r="D311" i="4" l="1"/>
</calcChain>
</file>

<file path=xl/sharedStrings.xml><?xml version="1.0" encoding="utf-8"?>
<sst xmlns="http://schemas.openxmlformats.org/spreadsheetml/2006/main" count="178" uniqueCount="60">
  <si>
    <t>vadesiz mevduat ve özel cari hesap</t>
  </si>
  <si>
    <t>1 yıla kadar vadeli mevduat /katılma hesabı</t>
  </si>
  <si>
    <t>1 aya kadar (1 ay dahil) vadeli mevduat /katılma hesabı</t>
  </si>
  <si>
    <t>3 aya kadar  (3 ay dahil) vadeli mevduat /katılma hesabı</t>
  </si>
  <si>
    <t>6 aya kadar (6 ay dahil) vadeli mevduat /katılma hesabı</t>
  </si>
  <si>
    <t>1 yıl ve daha uzun vadeli mevduat /katılma hesabı</t>
  </si>
  <si>
    <t>Toplam</t>
  </si>
  <si>
    <t>1 yıla kadar (1 yıl dahil) vadeli mevduat dışı yük.</t>
  </si>
  <si>
    <t>3 yıla kadar (3 yıl dahil) vadeli mevduat dışı yük.</t>
  </si>
  <si>
    <t>Yükümlülük Tarihi</t>
  </si>
  <si>
    <t>Tesis Edilmesi Gereken Toplam (TL)</t>
  </si>
  <si>
    <t>5 yıla kadar (5 yıl dahil) vadeli mevduat dışı yük.</t>
  </si>
  <si>
    <t>5 yıldan uzun vadeli mevduat dışı yük.</t>
  </si>
  <si>
    <t>Döviz İmkanı (Max) %</t>
  </si>
  <si>
    <t>Döviz İmkanı Kullanımı %</t>
  </si>
  <si>
    <t>3 yıldan uzun vadeli mevduat dışı yük.</t>
  </si>
  <si>
    <t>Vadesiz mevduat ve özel cari hesap</t>
  </si>
  <si>
    <t>Türk Lirası Tesis Edilen</t>
  </si>
  <si>
    <t>Döviz Tesis Edilen (ABD doları karşılığı)</t>
  </si>
  <si>
    <t>Altın Tesis Edilen (ABD doları karşılığı)</t>
  </si>
  <si>
    <t>Not:</t>
  </si>
  <si>
    <r>
      <t xml:space="preserve">06.12.2013 yükümlülük tarihinden itibaren finansman şirketleri zorunlu karşılık </t>
    </r>
    <r>
      <rPr>
        <sz val="11"/>
        <color theme="1"/>
        <rFont val="Calibri"/>
        <family val="2"/>
        <charset val="162"/>
        <scheme val="minor"/>
      </rPr>
      <t>kapsamına alınmıştır.</t>
    </r>
  </si>
  <si>
    <t>13.02.2015 yükümlülük tarihinden itibaren diğer yükümlülüklere yeni vade dilimleri eklenmiştir.</t>
  </si>
  <si>
    <t xml:space="preserve"> 14.10.2011 tarihinden itibaren kıymetli maden depo hesapları  zorunlu karşılığa tabi hale geldiğinden DTH verisinde kırılma görülmektedir. </t>
  </si>
  <si>
    <r>
      <t>17.01.2014 yükümlülük tarihinden itibaren 2013/15 sayılı ZK Tebliği yürürlüğ</t>
    </r>
    <r>
      <rPr>
        <sz val="11"/>
        <rFont val="Calibri"/>
        <family val="2"/>
        <charset val="162"/>
        <scheme val="minor"/>
      </rPr>
      <t>e</t>
    </r>
    <r>
      <rPr>
        <sz val="11"/>
        <color theme="1"/>
        <rFont val="Calibri"/>
        <family val="2"/>
        <charset val="162"/>
        <scheme val="minor"/>
      </rPr>
      <t xml:space="preserve"> girmiş ve zorunlu karşılığa tabi yükümlülüklerin kapsamı sadeleştirilmiştir.</t>
    </r>
  </si>
  <si>
    <t>06.12.2013 yükümlülük tarihinden itibaren finansman şirketleri zorunlu karşılık kapsamına alınmıştır.</t>
  </si>
  <si>
    <r>
      <t>17.01.2014 yükümlülük tarihinden itibaren 2013/15 sayılı ZK Tebliği yürürlüğ</t>
    </r>
    <r>
      <rPr>
        <sz val="11"/>
        <rFont val="Calibri"/>
        <family val="2"/>
        <charset val="162"/>
        <scheme val="minor"/>
      </rPr>
      <t>e girmiş ve zorunlu karşılığa tabi yükümlülüklerin kapsamı sadeleştirilmiştir.</t>
    </r>
  </si>
  <si>
    <r>
      <t>13.02.201</t>
    </r>
    <r>
      <rPr>
        <sz val="11"/>
        <rFont val="Calibri"/>
        <family val="2"/>
        <charset val="162"/>
        <scheme val="minor"/>
      </rPr>
      <t>5 yükümlülük tarihinden itibaren diğer yükümlülüklere yeni vade dilimleri eklenmiştir.</t>
    </r>
  </si>
  <si>
    <t>2 yıla kadar (2 yıl dahil) vadeli mevduat dışı yük.</t>
  </si>
  <si>
    <t>Müstakrizlerin Fonları</t>
  </si>
  <si>
    <t xml:space="preserve">12.02.2016 yükümlülük tarihinden itibaren yurt dışı bankalar mevduatı/katılım fonunun diğer yükümlülükler içinde izlenmesine ve müstakrizlerin fonlarının zorunlu karşılık kapsamına dâhil edilmesine karar verilmiştir. </t>
  </si>
  <si>
    <t>Hurda Altın İmkanı Kullanımı %</t>
  </si>
  <si>
    <t>Hurda Altın İmkanı  (Max) %</t>
  </si>
  <si>
    <t>Hurda Altın Tesis Edilen (ABD doları karşılığı)</t>
  </si>
  <si>
    <t>Standart Altın Tesis Edilen (ABD doları karşılığı)</t>
  </si>
  <si>
    <t>Standart Altın İmkanı  (Max) %</t>
  </si>
  <si>
    <t>Standart Altın İmkanı Kullanımı %</t>
  </si>
  <si>
    <t xml:space="preserve">12.02.2016 yükümlülük tarihinden itibaren yurt dışı bankalar mevduatı/katılım fonunun diğer yükümlülükler içinde izlenmesine, müstakrizlerin fonlarının zorunlu karşılık kapsamına dâhil edilmesine karar verilmiştir. </t>
  </si>
  <si>
    <t>11.01.2019 yükümlülük tarihinden itibaren resmi kuruluşlar mevduat/katılım fonları zorunlu karşılık kapsamı dışına çıkartılmıştır.</t>
  </si>
  <si>
    <t>03.05.2019 yükümlülük tarihinden itibaren Kamu Haznedarlığı Yönetmeliği kapsamındaki kurumların resmî kuruluş olarak değerlendirilmesine ve bu kurumlara ait mevduat/katılım fonlarının zorunlu karşılıklar kapsamına dahil edilmemesine karar verilmiştir.</t>
  </si>
  <si>
    <t>Tesis Başlangıç Tarihi</t>
  </si>
  <si>
    <t>Tesis Bitiş Tarihi</t>
  </si>
  <si>
    <t>Zorunlu Karşılığa Tabi Türk Lirası Kalemler (milyon TL)</t>
  </si>
  <si>
    <t>Müstakrizlerin fonları</t>
  </si>
  <si>
    <t>Türk Lirası Kalemler İçin Tesis Edilen Zorunlu Karşılıklar (milyon)</t>
  </si>
  <si>
    <t>Zorunlu karşılığa tabi varlıklar</t>
  </si>
  <si>
    <t>Yükümlülükler İçin Ağırlıklı Ortalama Zorunlu Karşılık Oranları (%)</t>
  </si>
  <si>
    <t>Türk Lirası Yükümlülükler İçin Rezerv Opsiyonu Mekanizması (ROM) Kullanım Oranı (%)</t>
  </si>
  <si>
    <t>14.06.2019 yükümlülük tarihinden itibaren finansman şirketlerinin zorunlu karşılık oranları yüzde 0'a düşürülmüş, 27.05.2022 yükümlülük tarihinden itibaren bankalar ile aynı seviyeye getirilmiştir.</t>
  </si>
  <si>
    <t>14.06.2019 yükümlülük tarihinden itibaren finansman şirketleri için yüzde 0'a düşürülmüş olan zorunlu karşılık oranlarının 27.05.2022 yükümlülük tarihinden 23.12.2022 (dahil) yükümlülük tarihine kadar %3 olarak uygulanmasına karar verilmiştir.</t>
  </si>
  <si>
    <t>Kalkınma ve yatırım bankalarınca 1 yıldan uzun vadeli ihraç edilen menkul kıymetler, 20.01.2023 yükümlülük tarihinden itibaren 2 yıla kadar (2 yıl dahil) vadeli mevduat dışı yükümlülüklere dahil edilmiştir.</t>
  </si>
  <si>
    <t>Merkez Bankasınca kur/fiyat desteği sağlanan hesaplar, 21.07.2023 yükümlülük tarihinden itibaren zorunlu karşılık kapsamına dâhil edilmiştir.</t>
  </si>
  <si>
    <r>
      <rPr>
        <sz val="11"/>
        <rFont val="Calibri"/>
        <family val="2"/>
        <charset val="162"/>
        <scheme val="minor"/>
      </rPr>
      <t>Yabancı Para Cinsinden</t>
    </r>
    <r>
      <rPr>
        <b/>
        <sz val="11"/>
        <color rgb="FFFF0000"/>
        <rFont val="Calibri"/>
        <family val="2"/>
        <charset val="162"/>
        <scheme val="minor"/>
      </rPr>
      <t xml:space="preserve"> </t>
    </r>
    <r>
      <rPr>
        <sz val="11"/>
        <color theme="1"/>
        <rFont val="Calibri"/>
        <family val="2"/>
        <charset val="162"/>
        <scheme val="minor"/>
      </rPr>
      <t>Tesis Edilmesi Gereken Toplam          (TL karşılığı)</t>
    </r>
  </si>
  <si>
    <t>Türk Lirası Cinsinden Tesis Edilen (TL karşılığı)</t>
  </si>
  <si>
    <t>Türk Lirası Cinsinden Tesis Edilmesi Gereken  (TL karşılığı)</t>
  </si>
  <si>
    <r>
      <t>Zorunlu Karşılığa Tabi Yabancı Para</t>
    </r>
    <r>
      <rPr>
        <b/>
        <sz val="11"/>
        <color rgb="FFFF0000"/>
        <rFont val="Calibri"/>
        <family val="2"/>
        <charset val="162"/>
      </rPr>
      <t xml:space="preserve"> </t>
    </r>
    <r>
      <rPr>
        <b/>
        <sz val="11"/>
        <color theme="1"/>
        <rFont val="Calibri"/>
        <family val="2"/>
        <charset val="162"/>
      </rPr>
      <t>Kalemler</t>
    </r>
    <r>
      <rPr>
        <b/>
        <sz val="11"/>
        <color theme="1"/>
        <rFont val="Calibri"/>
        <family val="2"/>
        <charset val="162"/>
        <scheme val="minor"/>
      </rPr>
      <t xml:space="preserve"> (milyon TL)</t>
    </r>
  </si>
  <si>
    <t>Yabancı Para Kalemler İçin Tesis Edilen Zorunlu Karşılıklar (milyon)</t>
  </si>
  <si>
    <r>
      <t>YP Ağırlıklı Ortalama ZK Oranı</t>
    </r>
    <r>
      <rPr>
        <sz val="11"/>
        <color rgb="FFFF0000"/>
        <rFont val="Calibri"/>
        <family val="2"/>
        <charset val="162"/>
        <scheme val="minor"/>
      </rPr>
      <t xml:space="preserve"> </t>
    </r>
    <r>
      <rPr>
        <sz val="11"/>
        <rFont val="Calibri"/>
        <family val="2"/>
        <charset val="162"/>
        <scheme val="minor"/>
      </rPr>
      <t>(YP cinsinden tesis edilmesi gereken kısım için)*</t>
    </r>
  </si>
  <si>
    <t>TL Ağırlıklı Ortalama ZK Oranı</t>
  </si>
  <si>
    <t>*Yabancı para cinsinden mevduat/katılım fonu (yurt dışı bankalar mevduatı/katılım fonu ve kıymetli maden depo hesapları hariç) için TL cinsinden tesis edilmesi gereken  ilave zorunlu karşılık oranı tüm vadelerde yüzde 4’tür.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</si>
</sst>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0.0"/>
    <numFmt numFmtId="166" formatCode="0.0000000000000"/>
    <numFmt numFmtId="167" formatCode="#,##0.0000"/>
    <numFmt numFmtId="168" formatCode="0.00000"/>
    <numFmt numFmtId="169" formatCode="_-* #,##0.00\ _T_L_-;\-* #,##0.00\ _T_L_-;_-* &quot;-&quot;??\ _T_L_-;_-@_-"/>
    <numFmt numFmtId="170" formatCode="#,##0.000"/>
    <numFmt numFmtId="171" formatCode="#,##0.0000000000"/>
    <numFmt numFmtId="172" formatCode="#,##0.000000"/>
    <numFmt numFmtId="173" formatCode="#,##0.00000000"/>
    <numFmt numFmtId="174" formatCode="0.0000"/>
    <numFmt numFmtId="175" formatCode="#,##0.0000000"/>
    <numFmt numFmtId="176" formatCode="#,##0.000000000000000"/>
    <numFmt numFmtId="177" formatCode="0.000"/>
    <numFmt numFmtId="178" formatCode="_-* #,##0_-;\-* #,##0_-;_-* &quot;-&quot;??_-;_-@_-"/>
  </numFmts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name val="Calibri"/>
      <family val="2"/>
      <charset val="162"/>
      <scheme val="minor"/>
    </font>
    <font>
      <sz val="11"/>
      <color theme="5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</font>
    <font>
      <b/>
      <sz val="11"/>
      <color theme="1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auto="1"/>
      </top>
      <bottom/>
      <diagonal/>
    </border>
    <border>
      <left/>
      <right style="thin">
        <color indexed="64"/>
      </right>
      <top style="dashed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thin">
        <color indexed="64"/>
      </top>
      <bottom style="dashed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88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/>
    <xf numFmtId="3" fontId="0" fillId="2" borderId="0" xfId="0" applyNumberFormat="1" applyFill="1"/>
    <xf numFmtId="14" fontId="0" fillId="3" borderId="0" xfId="0" applyNumberFormat="1" applyFill="1" applyBorder="1"/>
    <xf numFmtId="165" fontId="0" fillId="2" borderId="3" xfId="0" applyNumberFormat="1" applyFill="1" applyBorder="1"/>
    <xf numFmtId="165" fontId="0" fillId="2" borderId="4" xfId="0" applyNumberFormat="1" applyFill="1" applyBorder="1"/>
    <xf numFmtId="165" fontId="0" fillId="2" borderId="2" xfId="0" applyNumberFormat="1" applyFill="1" applyBorder="1"/>
    <xf numFmtId="165" fontId="0" fillId="2" borderId="1" xfId="0" applyNumberFormat="1" applyFill="1" applyBorder="1"/>
    <xf numFmtId="0" fontId="0" fillId="2" borderId="2" xfId="0" applyFill="1" applyBorder="1"/>
    <xf numFmtId="0" fontId="0" fillId="2" borderId="1" xfId="0" applyFill="1" applyBorder="1"/>
    <xf numFmtId="3" fontId="0" fillId="2" borderId="2" xfId="0" applyNumberFormat="1" applyFill="1" applyBorder="1"/>
    <xf numFmtId="3" fontId="0" fillId="2" borderId="1" xfId="0" applyNumberFormat="1" applyFill="1" applyBorder="1"/>
    <xf numFmtId="0" fontId="0" fillId="2" borderId="0" xfId="0" applyFill="1" applyAlignment="1">
      <alignment horizontal="right"/>
    </xf>
    <xf numFmtId="14" fontId="0" fillId="4" borderId="1" xfId="0" applyNumberFormat="1" applyFill="1" applyBorder="1"/>
    <xf numFmtId="14" fontId="0" fillId="4" borderId="1" xfId="0" applyNumberFormat="1" applyFill="1" applyBorder="1" applyAlignment="1">
      <alignment horizontal="right"/>
    </xf>
    <xf numFmtId="14" fontId="0" fillId="4" borderId="5" xfId="0" applyNumberFormat="1" applyFill="1" applyBorder="1"/>
    <xf numFmtId="3" fontId="0" fillId="2" borderId="5" xfId="0" applyNumberFormat="1" applyFill="1" applyBorder="1"/>
    <xf numFmtId="0" fontId="3" fillId="2" borderId="0" xfId="0" applyFont="1" applyFill="1"/>
    <xf numFmtId="0" fontId="0" fillId="2" borderId="0" xfId="0" applyFont="1" applyFill="1"/>
    <xf numFmtId="4" fontId="0" fillId="2" borderId="0" xfId="0" applyNumberFormat="1" applyFill="1"/>
    <xf numFmtId="14" fontId="0" fillId="4" borderId="5" xfId="0" applyNumberFormat="1" applyFill="1" applyBorder="1" applyAlignment="1">
      <alignment horizontal="right"/>
    </xf>
    <xf numFmtId="3" fontId="0" fillId="2" borderId="0" xfId="0" applyNumberFormat="1" applyFill="1" applyBorder="1"/>
    <xf numFmtId="14" fontId="0" fillId="4" borderId="2" xfId="0" applyNumberFormat="1" applyFill="1" applyBorder="1" applyAlignment="1">
      <alignment horizontal="right"/>
    </xf>
    <xf numFmtId="14" fontId="0" fillId="4" borderId="2" xfId="0" applyNumberFormat="1" applyFill="1" applyBorder="1"/>
    <xf numFmtId="1" fontId="0" fillId="2" borderId="1" xfId="0" applyNumberFormat="1" applyFill="1" applyBorder="1"/>
    <xf numFmtId="0" fontId="0" fillId="4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14" fontId="0" fillId="4" borderId="9" xfId="0" applyNumberFormat="1" applyFill="1" applyBorder="1"/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14" fontId="0" fillId="4" borderId="6" xfId="0" applyNumberFormat="1" applyFill="1" applyBorder="1" applyAlignment="1">
      <alignment horizontal="center" wrapText="1"/>
    </xf>
    <xf numFmtId="14" fontId="0" fillId="4" borderId="7" xfId="0" applyNumberFormat="1" applyFill="1" applyBorder="1" applyAlignment="1">
      <alignment horizontal="center" wrapText="1"/>
    </xf>
    <xf numFmtId="3" fontId="0" fillId="4" borderId="7" xfId="0" applyNumberFormat="1" applyFill="1" applyBorder="1" applyAlignment="1">
      <alignment horizontal="center" wrapText="1"/>
    </xf>
    <xf numFmtId="3" fontId="0" fillId="4" borderId="8" xfId="0" applyNumberFormat="1" applyFill="1" applyBorder="1" applyAlignment="1">
      <alignment horizontal="center" wrapText="1"/>
    </xf>
    <xf numFmtId="3" fontId="0" fillId="2" borderId="9" xfId="0" applyNumberFormat="1" applyFill="1" applyBorder="1"/>
    <xf numFmtId="0" fontId="0" fillId="2" borderId="0" xfId="0" applyFill="1" applyBorder="1"/>
    <xf numFmtId="3" fontId="0" fillId="0" borderId="5" xfId="0" applyNumberFormat="1" applyFill="1" applyBorder="1"/>
    <xf numFmtId="3" fontId="0" fillId="0" borderId="1" xfId="0" applyNumberFormat="1" applyFill="1" applyBorder="1"/>
    <xf numFmtId="0" fontId="0" fillId="2" borderId="5" xfId="0" applyFill="1" applyBorder="1"/>
    <xf numFmtId="0" fontId="0" fillId="2" borderId="9" xfId="0" applyFill="1" applyBorder="1"/>
    <xf numFmtId="165" fontId="0" fillId="2" borderId="0" xfId="0" applyNumberFormat="1" applyFill="1"/>
    <xf numFmtId="1" fontId="0" fillId="2" borderId="5" xfId="0" applyNumberFormat="1" applyFill="1" applyBorder="1"/>
    <xf numFmtId="14" fontId="0" fillId="2" borderId="0" xfId="0" applyNumberFormat="1" applyFill="1"/>
    <xf numFmtId="166" fontId="0" fillId="2" borderId="0" xfId="0" applyNumberFormat="1" applyFill="1"/>
    <xf numFmtId="170" fontId="0" fillId="2" borderId="0" xfId="0" applyNumberFormat="1" applyFill="1"/>
    <xf numFmtId="168" fontId="0" fillId="2" borderId="0" xfId="0" applyNumberFormat="1" applyFill="1"/>
    <xf numFmtId="0" fontId="0" fillId="2" borderId="0" xfId="0" applyFill="1"/>
    <xf numFmtId="165" fontId="0" fillId="2" borderId="5" xfId="0" applyNumberFormat="1" applyFill="1" applyBorder="1"/>
    <xf numFmtId="171" fontId="0" fillId="2" borderId="0" xfId="0" applyNumberFormat="1" applyFill="1"/>
    <xf numFmtId="172" fontId="0" fillId="2" borderId="0" xfId="0" applyNumberFormat="1" applyFill="1"/>
    <xf numFmtId="173" fontId="0" fillId="2" borderId="0" xfId="0" applyNumberFormat="1" applyFill="1"/>
    <xf numFmtId="167" fontId="0" fillId="0" borderId="0" xfId="0" applyNumberFormat="1"/>
    <xf numFmtId="0" fontId="0" fillId="2" borderId="0" xfId="0" applyFill="1" applyBorder="1" applyAlignment="1">
      <alignment horizontal="right"/>
    </xf>
    <xf numFmtId="174" fontId="0" fillId="2" borderId="0" xfId="0" applyNumberFormat="1" applyFill="1"/>
    <xf numFmtId="3" fontId="7" fillId="2" borderId="2" xfId="0" applyNumberFormat="1" applyFont="1" applyFill="1" applyBorder="1"/>
    <xf numFmtId="3" fontId="7" fillId="2" borderId="1" xfId="0" applyNumberFormat="1" applyFont="1" applyFill="1" applyBorder="1"/>
    <xf numFmtId="3" fontId="7" fillId="0" borderId="1" xfId="0" applyNumberFormat="1" applyFont="1" applyFill="1" applyBorder="1"/>
    <xf numFmtId="0" fontId="3" fillId="4" borderId="7" xfId="0" applyFont="1" applyFill="1" applyBorder="1" applyAlignment="1">
      <alignment horizontal="center" wrapText="1"/>
    </xf>
    <xf numFmtId="3" fontId="3" fillId="0" borderId="1" xfId="0" applyNumberFormat="1" applyFont="1" applyFill="1" applyBorder="1"/>
    <xf numFmtId="3" fontId="0" fillId="2" borderId="11" xfId="0" applyNumberFormat="1" applyFill="1" applyBorder="1"/>
    <xf numFmtId="170" fontId="0" fillId="0" borderId="0" xfId="0" applyNumberFormat="1"/>
    <xf numFmtId="4" fontId="0" fillId="0" borderId="0" xfId="0" applyNumberFormat="1"/>
    <xf numFmtId="2" fontId="0" fillId="2" borderId="0" xfId="0" applyNumberFormat="1" applyFill="1"/>
    <xf numFmtId="1" fontId="0" fillId="2" borderId="0" xfId="0" applyNumberFormat="1" applyFill="1"/>
    <xf numFmtId="164" fontId="0" fillId="2" borderId="0" xfId="0" applyNumberFormat="1" applyFill="1"/>
    <xf numFmtId="2" fontId="0" fillId="0" borderId="0" xfId="0" applyNumberFormat="1"/>
    <xf numFmtId="175" fontId="0" fillId="2" borderId="0" xfId="0" applyNumberFormat="1" applyFill="1"/>
    <xf numFmtId="176" fontId="0" fillId="2" borderId="0" xfId="0" applyNumberFormat="1" applyFill="1"/>
    <xf numFmtId="177" fontId="0" fillId="2" borderId="0" xfId="0" applyNumberFormat="1" applyFill="1"/>
    <xf numFmtId="3" fontId="0" fillId="0" borderId="0" xfId="0" applyNumberFormat="1"/>
    <xf numFmtId="178" fontId="0" fillId="0" borderId="0" xfId="9" applyNumberFormat="1" applyFont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0" fillId="2" borderId="0" xfId="0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/>
    </xf>
    <xf numFmtId="14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/>
    <xf numFmtId="0" fontId="0" fillId="2" borderId="0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ont="1" applyFill="1" applyAlignment="1">
      <alignment horizontal="left"/>
    </xf>
  </cellXfs>
  <cellStyles count="10">
    <cellStyle name="Comma" xfId="9" builtinId="3"/>
    <cellStyle name="Comma 2" xfId="4" xr:uid="{5FC33B69-E137-47C3-B0F2-E2A8F121A680}"/>
    <cellStyle name="Comma 2 2" xfId="7" xr:uid="{DB6A58B6-AA69-4139-BDA8-6AA032788E28}"/>
    <cellStyle name="Comma 2 3" xfId="8" xr:uid="{5FC33B69-E137-47C3-B0F2-E2A8F121A680}"/>
    <cellStyle name="Normal" xfId="0" builtinId="0"/>
    <cellStyle name="Normal 2" xfId="1" xr:uid="{00000000-0005-0000-0000-000001000000}"/>
    <cellStyle name="Normal 2 2" xfId="5" xr:uid="{0254DE5D-6E84-46E1-AB1D-2C12C0E2D248}"/>
    <cellStyle name="Normal 2 5" xfId="2" xr:uid="{D950FCA2-EA3E-42A5-ABFC-B0DC6EEED83F}"/>
    <cellStyle name="Normal 3" xfId="3" xr:uid="{FB3847BF-0ABE-4BA7-9013-51C7BA11BE4F}"/>
    <cellStyle name="Percent 2" xfId="6" xr:uid="{4258B6A9-575E-40F4-9DA0-25E85D9F11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8209"/>
  <sheetViews>
    <sheetView showGridLines="0" topLeftCell="A330" zoomScaleNormal="100" zoomScaleSheetLayoutView="80" workbookViewId="0">
      <selection activeCell="A363" sqref="A363:Q363"/>
    </sheetView>
  </sheetViews>
  <sheetFormatPr defaultColWidth="9.140625" defaultRowHeight="15" x14ac:dyDescent="0.25"/>
  <cols>
    <col min="1" max="17" width="14.5703125" style="1" customWidth="1"/>
    <col min="18" max="18" width="16.5703125" style="1" customWidth="1"/>
    <col min="19" max="19" width="13.5703125" style="1" bestFit="1" customWidth="1"/>
    <col min="20" max="20" width="17.5703125" style="1" customWidth="1"/>
    <col min="21" max="21" width="14.85546875" style="1" bestFit="1" customWidth="1"/>
    <col min="22" max="22" width="9.140625" style="1"/>
    <col min="23" max="23" width="12.140625" style="1" customWidth="1"/>
    <col min="24" max="24" width="13.5703125" style="1" bestFit="1" customWidth="1"/>
    <col min="25" max="25" width="9.140625" style="1"/>
    <col min="26" max="26" width="12.42578125" style="1" bestFit="1" customWidth="1"/>
    <col min="27" max="16384" width="9.140625" style="1"/>
  </cols>
  <sheetData>
    <row r="1" spans="1:25" x14ac:dyDescent="0.25">
      <c r="A1" s="75" t="s">
        <v>42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25" s="2" customFormat="1" ht="78.75" customHeight="1" x14ac:dyDescent="0.25">
      <c r="A2" s="34" t="s">
        <v>9</v>
      </c>
      <c r="B2" s="35" t="s">
        <v>40</v>
      </c>
      <c r="C2" s="35" t="s">
        <v>41</v>
      </c>
      <c r="D2" s="36" t="s">
        <v>6</v>
      </c>
      <c r="E2" s="36" t="s">
        <v>16</v>
      </c>
      <c r="F2" s="36" t="s">
        <v>2</v>
      </c>
      <c r="G2" s="36" t="s">
        <v>3</v>
      </c>
      <c r="H2" s="36" t="s">
        <v>4</v>
      </c>
      <c r="I2" s="36" t="s">
        <v>1</v>
      </c>
      <c r="J2" s="36" t="s">
        <v>5</v>
      </c>
      <c r="K2" s="36" t="s">
        <v>7</v>
      </c>
      <c r="L2" s="36" t="s">
        <v>8</v>
      </c>
      <c r="M2" s="37" t="s">
        <v>15</v>
      </c>
      <c r="N2" s="4"/>
      <c r="O2" s="4"/>
    </row>
    <row r="3" spans="1:25" x14ac:dyDescent="0.25">
      <c r="A3" s="30">
        <v>40802</v>
      </c>
      <c r="B3" s="15">
        <v>40816</v>
      </c>
      <c r="C3" s="15">
        <v>40829</v>
      </c>
      <c r="D3" s="12">
        <f t="shared" ref="D3:D66" si="0">+SUM(E3:Q3)</f>
        <v>519379.34400000004</v>
      </c>
      <c r="E3" s="12">
        <v>71112.820999999996</v>
      </c>
      <c r="F3" s="12">
        <v>63321.84</v>
      </c>
      <c r="G3" s="12">
        <v>261180.15299999999</v>
      </c>
      <c r="H3" s="12">
        <v>41852.786</v>
      </c>
      <c r="I3" s="12">
        <v>9850.8510000000006</v>
      </c>
      <c r="J3" s="12">
        <v>12543.614</v>
      </c>
      <c r="K3" s="12">
        <v>59517.279000000002</v>
      </c>
      <c r="L3" s="12"/>
      <c r="M3" s="12"/>
      <c r="N3" s="4"/>
      <c r="O3" s="4"/>
      <c r="W3" s="2"/>
      <c r="Y3" s="2"/>
    </row>
    <row r="4" spans="1:25" x14ac:dyDescent="0.25">
      <c r="A4" s="15">
        <v>40816</v>
      </c>
      <c r="B4" s="15">
        <v>40830</v>
      </c>
      <c r="C4" s="15">
        <v>40843</v>
      </c>
      <c r="D4" s="13">
        <f t="shared" si="0"/>
        <v>522453.46499999997</v>
      </c>
      <c r="E4" s="13">
        <v>70923.260999999999</v>
      </c>
      <c r="F4" s="13">
        <v>62134.485999999997</v>
      </c>
      <c r="G4" s="13">
        <v>260081.516</v>
      </c>
      <c r="H4" s="13">
        <v>42377.79</v>
      </c>
      <c r="I4" s="13">
        <v>10125.583000000001</v>
      </c>
      <c r="J4" s="13">
        <v>12944.388000000001</v>
      </c>
      <c r="K4" s="13">
        <v>58115.974999999999</v>
      </c>
      <c r="L4" s="13">
        <v>2903.9180000000001</v>
      </c>
      <c r="M4" s="13">
        <v>2846.5479999999998</v>
      </c>
      <c r="N4" s="4"/>
      <c r="O4" s="4"/>
      <c r="W4" s="2"/>
      <c r="Y4" s="2"/>
    </row>
    <row r="5" spans="1:25" x14ac:dyDescent="0.25">
      <c r="A5" s="15">
        <v>40830</v>
      </c>
      <c r="B5" s="15">
        <v>40844</v>
      </c>
      <c r="C5" s="15">
        <v>40857</v>
      </c>
      <c r="D5" s="13">
        <f t="shared" si="0"/>
        <v>521678.20700000005</v>
      </c>
      <c r="E5" s="13">
        <v>72315.194000000003</v>
      </c>
      <c r="F5" s="13">
        <v>60884.95</v>
      </c>
      <c r="G5" s="13">
        <v>261347.82199999999</v>
      </c>
      <c r="H5" s="13">
        <v>42109.699000000001</v>
      </c>
      <c r="I5" s="13">
        <v>10073.761</v>
      </c>
      <c r="J5" s="13">
        <v>13160.674999999999</v>
      </c>
      <c r="K5" s="13">
        <v>56083.510999999999</v>
      </c>
      <c r="L5" s="13">
        <v>2820.6660000000002</v>
      </c>
      <c r="M5" s="13">
        <v>2881.9290000000001</v>
      </c>
      <c r="N5" s="4"/>
      <c r="O5" s="4"/>
      <c r="W5" s="2"/>
      <c r="Y5" s="2"/>
    </row>
    <row r="6" spans="1:25" x14ac:dyDescent="0.25">
      <c r="A6" s="15">
        <v>40844</v>
      </c>
      <c r="B6" s="15">
        <v>40858</v>
      </c>
      <c r="C6" s="15">
        <v>40871</v>
      </c>
      <c r="D6" s="13">
        <f t="shared" si="0"/>
        <v>511549.60499999992</v>
      </c>
      <c r="E6" s="13">
        <v>69072.683999999994</v>
      </c>
      <c r="F6" s="13">
        <v>57872.41</v>
      </c>
      <c r="G6" s="13">
        <v>261047.18</v>
      </c>
      <c r="H6" s="13">
        <v>41243.438000000002</v>
      </c>
      <c r="I6" s="13">
        <v>9701.7360000000008</v>
      </c>
      <c r="J6" s="13">
        <v>13265.822</v>
      </c>
      <c r="K6" s="13">
        <v>53638.267</v>
      </c>
      <c r="L6" s="13">
        <v>2826.3919999999998</v>
      </c>
      <c r="M6" s="13">
        <v>2881.6759999999999</v>
      </c>
      <c r="N6" s="4"/>
      <c r="O6" s="4"/>
      <c r="W6" s="2"/>
      <c r="Y6" s="2"/>
    </row>
    <row r="7" spans="1:25" x14ac:dyDescent="0.25">
      <c r="A7" s="15">
        <v>40858</v>
      </c>
      <c r="B7" s="15">
        <v>40872</v>
      </c>
      <c r="C7" s="15">
        <v>40885</v>
      </c>
      <c r="D7" s="13">
        <f t="shared" si="0"/>
        <v>515171.315</v>
      </c>
      <c r="E7" s="13">
        <v>66555.357999999993</v>
      </c>
      <c r="F7" s="13">
        <v>60543.805999999997</v>
      </c>
      <c r="G7" s="13">
        <v>262115.652</v>
      </c>
      <c r="H7" s="13">
        <v>40816.622000000003</v>
      </c>
      <c r="I7" s="13">
        <v>9422.4390000000003</v>
      </c>
      <c r="J7" s="13">
        <v>13268.025</v>
      </c>
      <c r="K7" s="13">
        <v>56232.550999999999</v>
      </c>
      <c r="L7" s="13">
        <v>3329.4180000000001</v>
      </c>
      <c r="M7" s="13">
        <v>2887.444</v>
      </c>
      <c r="N7" s="4"/>
      <c r="O7" s="4"/>
      <c r="W7" s="2"/>
      <c r="Y7" s="2"/>
    </row>
    <row r="8" spans="1:25" x14ac:dyDescent="0.25">
      <c r="A8" s="15">
        <v>40872</v>
      </c>
      <c r="B8" s="15">
        <v>40886</v>
      </c>
      <c r="C8" s="15">
        <v>40899</v>
      </c>
      <c r="D8" s="13">
        <f t="shared" si="0"/>
        <v>516909.63400000002</v>
      </c>
      <c r="E8" s="13">
        <v>68498.127999999997</v>
      </c>
      <c r="F8" s="13">
        <v>61200.699000000001</v>
      </c>
      <c r="G8" s="13">
        <v>262857.85700000002</v>
      </c>
      <c r="H8" s="13">
        <v>38164.866000000002</v>
      </c>
      <c r="I8" s="13">
        <v>9383.1389999999992</v>
      </c>
      <c r="J8" s="13">
        <v>13435.83</v>
      </c>
      <c r="K8" s="13">
        <v>57158.745000000003</v>
      </c>
      <c r="L8" s="13">
        <v>3391.4079999999999</v>
      </c>
      <c r="M8" s="13">
        <v>2818.962</v>
      </c>
      <c r="N8" s="4"/>
      <c r="O8" s="4"/>
      <c r="W8" s="2"/>
      <c r="Y8" s="2"/>
    </row>
    <row r="9" spans="1:25" x14ac:dyDescent="0.25">
      <c r="A9" s="15">
        <v>40886</v>
      </c>
      <c r="B9" s="15">
        <v>40900</v>
      </c>
      <c r="C9" s="15">
        <v>40913</v>
      </c>
      <c r="D9" s="13">
        <f t="shared" si="0"/>
        <v>513995.42299999989</v>
      </c>
      <c r="E9" s="13">
        <v>65143.775000000001</v>
      </c>
      <c r="F9" s="13">
        <v>63164.127</v>
      </c>
      <c r="G9" s="13">
        <v>260268.424</v>
      </c>
      <c r="H9" s="13">
        <v>39300.631999999998</v>
      </c>
      <c r="I9" s="13">
        <v>9194.9210000000003</v>
      </c>
      <c r="J9" s="13">
        <v>13310.698</v>
      </c>
      <c r="K9" s="13">
        <v>56870.175000000003</v>
      </c>
      <c r="L9" s="13">
        <v>3718.7939999999999</v>
      </c>
      <c r="M9" s="13">
        <v>3023.877</v>
      </c>
      <c r="N9" s="4"/>
      <c r="O9" s="4"/>
      <c r="W9" s="2"/>
      <c r="Y9" s="2"/>
    </row>
    <row r="10" spans="1:25" x14ac:dyDescent="0.25">
      <c r="A10" s="15">
        <v>40900</v>
      </c>
      <c r="B10" s="15">
        <v>40914</v>
      </c>
      <c r="C10" s="15">
        <v>40927</v>
      </c>
      <c r="D10" s="13">
        <f t="shared" si="0"/>
        <v>519184.62000000005</v>
      </c>
      <c r="E10" s="13">
        <v>70234.654999999999</v>
      </c>
      <c r="F10" s="13">
        <v>64527.902999999998</v>
      </c>
      <c r="G10" s="13">
        <v>259700.78400000001</v>
      </c>
      <c r="H10" s="13">
        <v>39374.008999999998</v>
      </c>
      <c r="I10" s="13">
        <v>9140.7379999999994</v>
      </c>
      <c r="J10" s="13">
        <v>13380.183000000001</v>
      </c>
      <c r="K10" s="13">
        <v>56481.353999999999</v>
      </c>
      <c r="L10" s="13">
        <v>3321.6089999999999</v>
      </c>
      <c r="M10" s="13">
        <v>3023.3850000000002</v>
      </c>
      <c r="N10" s="4"/>
      <c r="O10" s="4"/>
      <c r="W10" s="2"/>
      <c r="Y10" s="2"/>
    </row>
    <row r="11" spans="1:25" x14ac:dyDescent="0.25">
      <c r="A11" s="15">
        <v>40914</v>
      </c>
      <c r="B11" s="15">
        <v>40928</v>
      </c>
      <c r="C11" s="15">
        <v>40941</v>
      </c>
      <c r="D11" s="13">
        <f t="shared" si="0"/>
        <v>513331.44299999997</v>
      </c>
      <c r="E11" s="13">
        <v>62432.633000000002</v>
      </c>
      <c r="F11" s="13">
        <v>61052.932999999997</v>
      </c>
      <c r="G11" s="13">
        <v>269108.88099999999</v>
      </c>
      <c r="H11" s="13">
        <v>37339.004000000001</v>
      </c>
      <c r="I11" s="13">
        <v>8117.6530000000002</v>
      </c>
      <c r="J11" s="13">
        <v>13461.148999999999</v>
      </c>
      <c r="K11" s="13">
        <v>54842.8</v>
      </c>
      <c r="L11" s="13">
        <v>3948.0810000000001</v>
      </c>
      <c r="M11" s="13">
        <v>3028.3090000000002</v>
      </c>
      <c r="N11" s="4"/>
      <c r="O11" s="4"/>
      <c r="W11" s="2"/>
      <c r="Y11" s="2"/>
    </row>
    <row r="12" spans="1:25" x14ac:dyDescent="0.25">
      <c r="A12" s="15">
        <v>40928</v>
      </c>
      <c r="B12" s="15">
        <v>40942</v>
      </c>
      <c r="C12" s="15">
        <v>40955</v>
      </c>
      <c r="D12" s="13">
        <f t="shared" si="0"/>
        <v>515535.35099999997</v>
      </c>
      <c r="E12" s="13">
        <v>65864.887000000002</v>
      </c>
      <c r="F12" s="13">
        <v>56631.326000000001</v>
      </c>
      <c r="G12" s="13">
        <v>272661.48100000003</v>
      </c>
      <c r="H12" s="13">
        <v>36763.402999999998</v>
      </c>
      <c r="I12" s="13">
        <v>7340.0929999999998</v>
      </c>
      <c r="J12" s="13">
        <v>13486.674999999999</v>
      </c>
      <c r="K12" s="13">
        <v>55225.913</v>
      </c>
      <c r="L12" s="13">
        <v>3943.7190000000001</v>
      </c>
      <c r="M12" s="13">
        <v>3617.8539999999998</v>
      </c>
      <c r="N12" s="4"/>
      <c r="O12" s="4"/>
      <c r="W12" s="2"/>
      <c r="Y12" s="2"/>
    </row>
    <row r="13" spans="1:25" x14ac:dyDescent="0.25">
      <c r="A13" s="15">
        <v>40942</v>
      </c>
      <c r="B13" s="15">
        <v>40956</v>
      </c>
      <c r="C13" s="15">
        <v>40969</v>
      </c>
      <c r="D13" s="13">
        <f t="shared" si="0"/>
        <v>511754.27499999997</v>
      </c>
      <c r="E13" s="13">
        <v>62129.841999999997</v>
      </c>
      <c r="F13" s="13">
        <v>55581.355000000003</v>
      </c>
      <c r="G13" s="13">
        <v>272403.27</v>
      </c>
      <c r="H13" s="13">
        <v>36861.453000000001</v>
      </c>
      <c r="I13" s="13">
        <v>6903.11</v>
      </c>
      <c r="J13" s="13">
        <v>13488.335999999999</v>
      </c>
      <c r="K13" s="13">
        <v>56814.487999999998</v>
      </c>
      <c r="L13" s="13">
        <v>3947.723</v>
      </c>
      <c r="M13" s="13">
        <v>3624.6979999999999</v>
      </c>
      <c r="N13" s="4"/>
      <c r="O13" s="4"/>
      <c r="W13" s="2"/>
      <c r="Y13" s="2"/>
    </row>
    <row r="14" spans="1:25" x14ac:dyDescent="0.25">
      <c r="A14" s="15">
        <v>40956</v>
      </c>
      <c r="B14" s="15">
        <v>40970</v>
      </c>
      <c r="C14" s="15">
        <v>40983</v>
      </c>
      <c r="D14" s="13">
        <f t="shared" si="0"/>
        <v>522057.44500000007</v>
      </c>
      <c r="E14" s="13">
        <v>70432.061000000002</v>
      </c>
      <c r="F14" s="13">
        <v>55998.357000000004</v>
      </c>
      <c r="G14" s="13">
        <v>269519.7</v>
      </c>
      <c r="H14" s="13">
        <v>37487.237999999998</v>
      </c>
      <c r="I14" s="13">
        <v>7139.326</v>
      </c>
      <c r="J14" s="13">
        <v>13703.84</v>
      </c>
      <c r="K14" s="13">
        <v>60159.485999999997</v>
      </c>
      <c r="L14" s="13">
        <v>3993.2330000000002</v>
      </c>
      <c r="M14" s="13">
        <v>3624.2040000000002</v>
      </c>
      <c r="N14" s="4"/>
      <c r="O14" s="4"/>
      <c r="W14" s="2"/>
      <c r="Y14" s="2"/>
    </row>
    <row r="15" spans="1:25" x14ac:dyDescent="0.25">
      <c r="A15" s="15">
        <v>40970</v>
      </c>
      <c r="B15" s="15">
        <v>40984</v>
      </c>
      <c r="C15" s="15">
        <v>40997</v>
      </c>
      <c r="D15" s="13">
        <f t="shared" si="0"/>
        <v>512098.32299999997</v>
      </c>
      <c r="E15" s="13">
        <v>64594.47</v>
      </c>
      <c r="F15" s="13">
        <v>56846.614999999998</v>
      </c>
      <c r="G15" s="13">
        <v>269837.46299999999</v>
      </c>
      <c r="H15" s="13">
        <v>36494.707000000002</v>
      </c>
      <c r="I15" s="13">
        <v>7410.326</v>
      </c>
      <c r="J15" s="13">
        <v>13695.18</v>
      </c>
      <c r="K15" s="13">
        <v>55422.233999999997</v>
      </c>
      <c r="L15" s="13">
        <v>3976.28</v>
      </c>
      <c r="M15" s="13">
        <v>3821.0479999999998</v>
      </c>
      <c r="N15" s="4"/>
      <c r="O15" s="4"/>
      <c r="W15" s="2"/>
      <c r="Y15" s="2"/>
    </row>
    <row r="16" spans="1:25" x14ac:dyDescent="0.25">
      <c r="A16" s="15">
        <v>40984</v>
      </c>
      <c r="B16" s="15">
        <v>40998</v>
      </c>
      <c r="C16" s="15">
        <v>41011</v>
      </c>
      <c r="D16" s="13">
        <f t="shared" si="0"/>
        <v>521861.00599999999</v>
      </c>
      <c r="E16" s="13">
        <v>70349.032000000007</v>
      </c>
      <c r="F16" s="13">
        <v>57989.478999999999</v>
      </c>
      <c r="G16" s="13">
        <v>271460.86800000002</v>
      </c>
      <c r="H16" s="13">
        <v>36071.595999999998</v>
      </c>
      <c r="I16" s="13">
        <v>7541.652</v>
      </c>
      <c r="J16" s="13">
        <v>13780.164000000001</v>
      </c>
      <c r="K16" s="13">
        <v>56772.627999999997</v>
      </c>
      <c r="L16" s="13">
        <v>3842.49</v>
      </c>
      <c r="M16" s="13">
        <v>4053.0970000000002</v>
      </c>
      <c r="N16" s="4"/>
      <c r="O16" s="4"/>
      <c r="W16" s="2"/>
      <c r="Y16" s="2"/>
    </row>
    <row r="17" spans="1:25" x14ac:dyDescent="0.25">
      <c r="A17" s="15">
        <v>40998</v>
      </c>
      <c r="B17" s="15">
        <v>41012</v>
      </c>
      <c r="C17" s="15">
        <v>41025</v>
      </c>
      <c r="D17" s="13">
        <f t="shared" si="0"/>
        <v>525150.63800000004</v>
      </c>
      <c r="E17" s="13">
        <v>67847.616999999998</v>
      </c>
      <c r="F17" s="13">
        <v>60052.553</v>
      </c>
      <c r="G17" s="13">
        <v>272383.45500000002</v>
      </c>
      <c r="H17" s="13">
        <v>36675.853999999999</v>
      </c>
      <c r="I17" s="13">
        <v>7266.1030000000001</v>
      </c>
      <c r="J17" s="13">
        <v>13885.781999999999</v>
      </c>
      <c r="K17" s="13">
        <v>59113.339</v>
      </c>
      <c r="L17" s="13">
        <v>3935.88</v>
      </c>
      <c r="M17" s="13">
        <v>3990.0549999999998</v>
      </c>
      <c r="N17" s="4"/>
      <c r="O17" s="4"/>
      <c r="W17" s="2"/>
      <c r="Y17" s="2"/>
    </row>
    <row r="18" spans="1:25" x14ac:dyDescent="0.25">
      <c r="A18" s="15">
        <v>41012</v>
      </c>
      <c r="B18" s="15">
        <v>41026</v>
      </c>
      <c r="C18" s="15">
        <v>41039</v>
      </c>
      <c r="D18" s="13">
        <f t="shared" si="0"/>
        <v>530684.95000000007</v>
      </c>
      <c r="E18" s="13">
        <v>71883.599000000002</v>
      </c>
      <c r="F18" s="13">
        <v>58974.248</v>
      </c>
      <c r="G18" s="13">
        <v>272372.10800000001</v>
      </c>
      <c r="H18" s="13">
        <v>37664.107000000004</v>
      </c>
      <c r="I18" s="13">
        <v>7041.1679999999997</v>
      </c>
      <c r="J18" s="13">
        <v>13985.212</v>
      </c>
      <c r="K18" s="13">
        <v>60682.027000000002</v>
      </c>
      <c r="L18" s="13">
        <v>4028.0070000000001</v>
      </c>
      <c r="M18" s="13">
        <v>4054.4740000000002</v>
      </c>
      <c r="N18" s="4"/>
      <c r="O18" s="4"/>
      <c r="W18" s="2"/>
      <c r="Y18" s="2"/>
    </row>
    <row r="19" spans="1:25" x14ac:dyDescent="0.25">
      <c r="A19" s="15">
        <v>41026</v>
      </c>
      <c r="B19" s="15">
        <v>41040</v>
      </c>
      <c r="C19" s="15">
        <v>41053</v>
      </c>
      <c r="D19" s="13">
        <f t="shared" si="0"/>
        <v>530428.46200000006</v>
      </c>
      <c r="E19" s="13">
        <v>73782.934999999998</v>
      </c>
      <c r="F19" s="13">
        <v>56631.67</v>
      </c>
      <c r="G19" s="13">
        <v>273815.84600000002</v>
      </c>
      <c r="H19" s="13">
        <v>36939.896999999997</v>
      </c>
      <c r="I19" s="13">
        <v>6335.3779999999997</v>
      </c>
      <c r="J19" s="13">
        <v>13713.487999999999</v>
      </c>
      <c r="K19" s="13">
        <v>61132.177000000003</v>
      </c>
      <c r="L19" s="13">
        <v>3935.567</v>
      </c>
      <c r="M19" s="13">
        <v>4141.5039999999999</v>
      </c>
      <c r="N19" s="4"/>
      <c r="O19" s="4"/>
      <c r="W19" s="2"/>
      <c r="Y19" s="2"/>
    </row>
    <row r="20" spans="1:25" x14ac:dyDescent="0.25">
      <c r="A20" s="15">
        <v>41040</v>
      </c>
      <c r="B20" s="15">
        <v>41054</v>
      </c>
      <c r="C20" s="15">
        <v>41067</v>
      </c>
      <c r="D20" s="13">
        <f t="shared" si="0"/>
        <v>534939.37100000004</v>
      </c>
      <c r="E20" s="13">
        <v>69813.702999999994</v>
      </c>
      <c r="F20" s="13">
        <v>58149.91</v>
      </c>
      <c r="G20" s="13">
        <v>276196.42200000002</v>
      </c>
      <c r="H20" s="13">
        <v>37040.796000000002</v>
      </c>
      <c r="I20" s="13">
        <v>6348.6949999999997</v>
      </c>
      <c r="J20" s="13">
        <v>13575.578</v>
      </c>
      <c r="K20" s="13">
        <v>65075.983999999997</v>
      </c>
      <c r="L20" s="13">
        <v>4596.8490000000002</v>
      </c>
      <c r="M20" s="13">
        <v>4141.4340000000002</v>
      </c>
      <c r="N20" s="4"/>
      <c r="O20" s="4"/>
      <c r="W20" s="2"/>
      <c r="Y20" s="2"/>
    </row>
    <row r="21" spans="1:25" x14ac:dyDescent="0.25">
      <c r="A21" s="15">
        <v>41054</v>
      </c>
      <c r="B21" s="15">
        <v>41068</v>
      </c>
      <c r="C21" s="15">
        <v>41081</v>
      </c>
      <c r="D21" s="13">
        <f t="shared" si="0"/>
        <v>537670.31599999999</v>
      </c>
      <c r="E21" s="13">
        <v>68693.396999999997</v>
      </c>
      <c r="F21" s="13">
        <v>58826.080000000002</v>
      </c>
      <c r="G21" s="13">
        <v>280911.61</v>
      </c>
      <c r="H21" s="13">
        <v>35248.898999999998</v>
      </c>
      <c r="I21" s="13">
        <v>6166.6530000000002</v>
      </c>
      <c r="J21" s="13">
        <v>13866.933999999999</v>
      </c>
      <c r="K21" s="13">
        <v>65052.527000000002</v>
      </c>
      <c r="L21" s="13">
        <v>4584.9639999999999</v>
      </c>
      <c r="M21" s="13">
        <v>4319.2520000000004</v>
      </c>
      <c r="N21" s="4"/>
      <c r="O21" s="4"/>
      <c r="W21" s="2"/>
      <c r="Y21" s="2"/>
    </row>
    <row r="22" spans="1:25" x14ac:dyDescent="0.25">
      <c r="A22" s="15">
        <v>41068</v>
      </c>
      <c r="B22" s="15">
        <v>41082</v>
      </c>
      <c r="C22" s="15">
        <v>41095</v>
      </c>
      <c r="D22" s="13">
        <f t="shared" si="0"/>
        <v>537998.68099999998</v>
      </c>
      <c r="E22" s="13">
        <v>69684.320999999996</v>
      </c>
      <c r="F22" s="13">
        <v>55788.516000000003</v>
      </c>
      <c r="G22" s="13">
        <v>283953.47399999999</v>
      </c>
      <c r="H22" s="13">
        <v>34298.980000000003</v>
      </c>
      <c r="I22" s="13">
        <v>6171.6980000000003</v>
      </c>
      <c r="J22" s="13">
        <v>13989.529</v>
      </c>
      <c r="K22" s="13">
        <v>64530.902999999998</v>
      </c>
      <c r="L22" s="13">
        <v>5264.018</v>
      </c>
      <c r="M22" s="13">
        <v>4317.2420000000002</v>
      </c>
      <c r="N22" s="4"/>
      <c r="O22" s="4"/>
      <c r="W22" s="2"/>
      <c r="Y22" s="2"/>
    </row>
    <row r="23" spans="1:25" x14ac:dyDescent="0.25">
      <c r="A23" s="15">
        <v>41082</v>
      </c>
      <c r="B23" s="15">
        <v>41096</v>
      </c>
      <c r="C23" s="15">
        <v>41109</v>
      </c>
      <c r="D23" s="13">
        <f t="shared" si="0"/>
        <v>540991.31199999992</v>
      </c>
      <c r="E23" s="13">
        <v>73359.812000000005</v>
      </c>
      <c r="F23" s="13">
        <v>56413.072</v>
      </c>
      <c r="G23" s="13">
        <v>284523.89299999998</v>
      </c>
      <c r="H23" s="13">
        <v>33679.034</v>
      </c>
      <c r="I23" s="13">
        <v>5995.424</v>
      </c>
      <c r="J23" s="13">
        <v>13950.582</v>
      </c>
      <c r="K23" s="13">
        <v>63790.635000000002</v>
      </c>
      <c r="L23" s="13">
        <v>4927.54</v>
      </c>
      <c r="M23" s="13">
        <v>4351.32</v>
      </c>
      <c r="N23" s="4"/>
      <c r="O23" s="4"/>
      <c r="W23" s="2"/>
      <c r="Y23" s="2"/>
    </row>
    <row r="24" spans="1:25" x14ac:dyDescent="0.25">
      <c r="A24" s="15">
        <v>41096</v>
      </c>
      <c r="B24" s="15">
        <v>41110</v>
      </c>
      <c r="C24" s="15">
        <v>41123</v>
      </c>
      <c r="D24" s="13">
        <f t="shared" si="0"/>
        <v>539194.79599999997</v>
      </c>
      <c r="E24" s="13">
        <v>68584.816999999995</v>
      </c>
      <c r="F24" s="13">
        <v>56703.855000000003</v>
      </c>
      <c r="G24" s="13">
        <v>287542.23200000002</v>
      </c>
      <c r="H24" s="13">
        <v>32180.767</v>
      </c>
      <c r="I24" s="13">
        <v>6000.3969999999999</v>
      </c>
      <c r="J24" s="13">
        <v>14024.137000000001</v>
      </c>
      <c r="K24" s="13">
        <v>64894.165000000001</v>
      </c>
      <c r="L24" s="13">
        <v>4913.4319999999998</v>
      </c>
      <c r="M24" s="13">
        <v>4350.9939999999997</v>
      </c>
      <c r="N24" s="4"/>
      <c r="O24" s="4"/>
      <c r="W24" s="2"/>
      <c r="Y24" s="2"/>
    </row>
    <row r="25" spans="1:25" x14ac:dyDescent="0.25">
      <c r="A25" s="15">
        <v>41110</v>
      </c>
      <c r="B25" s="15">
        <v>41124</v>
      </c>
      <c r="C25" s="15">
        <v>41137</v>
      </c>
      <c r="D25" s="13">
        <f t="shared" si="0"/>
        <v>548749.17099999997</v>
      </c>
      <c r="E25" s="13">
        <v>72010.354999999996</v>
      </c>
      <c r="F25" s="13">
        <v>59175.123</v>
      </c>
      <c r="G25" s="13">
        <v>291219.51699999999</v>
      </c>
      <c r="H25" s="13">
        <v>30509.834999999999</v>
      </c>
      <c r="I25" s="13">
        <v>6047.1530000000002</v>
      </c>
      <c r="J25" s="13">
        <v>13875.114</v>
      </c>
      <c r="K25" s="13">
        <v>66635.120999999999</v>
      </c>
      <c r="L25" s="13">
        <v>4927.5709999999999</v>
      </c>
      <c r="M25" s="13">
        <v>4349.3819999999996</v>
      </c>
      <c r="N25" s="4"/>
      <c r="O25" s="4"/>
      <c r="W25" s="2"/>
      <c r="Y25" s="2"/>
    </row>
    <row r="26" spans="1:25" x14ac:dyDescent="0.25">
      <c r="A26" s="15">
        <v>41124</v>
      </c>
      <c r="B26" s="15">
        <v>41138</v>
      </c>
      <c r="C26" s="15">
        <v>41151</v>
      </c>
      <c r="D26" s="13">
        <f t="shared" si="0"/>
        <v>541986.36999999988</v>
      </c>
      <c r="E26" s="13">
        <v>67498.983999999997</v>
      </c>
      <c r="F26" s="13">
        <v>56771.038999999997</v>
      </c>
      <c r="G26" s="13">
        <v>295247.55099999998</v>
      </c>
      <c r="H26" s="13">
        <v>29389.307000000001</v>
      </c>
      <c r="I26" s="13">
        <v>5960.0209999999997</v>
      </c>
      <c r="J26" s="13">
        <v>13770.987999999999</v>
      </c>
      <c r="K26" s="13">
        <v>63909.461000000003</v>
      </c>
      <c r="L26" s="13">
        <v>4930.8689999999997</v>
      </c>
      <c r="M26" s="13">
        <v>4508.1499999999996</v>
      </c>
      <c r="N26" s="4"/>
      <c r="O26" s="4"/>
      <c r="W26" s="2"/>
      <c r="Y26" s="2"/>
    </row>
    <row r="27" spans="1:25" x14ac:dyDescent="0.25">
      <c r="A27" s="15">
        <v>41138</v>
      </c>
      <c r="B27" s="15">
        <v>41152</v>
      </c>
      <c r="C27" s="15">
        <v>41165</v>
      </c>
      <c r="D27" s="13">
        <f t="shared" si="0"/>
        <v>560435.66700000002</v>
      </c>
      <c r="E27" s="13">
        <v>79246.841</v>
      </c>
      <c r="F27" s="13">
        <v>57207.326999999997</v>
      </c>
      <c r="G27" s="13">
        <v>300857.538</v>
      </c>
      <c r="H27" s="13">
        <v>28165.57</v>
      </c>
      <c r="I27" s="13">
        <v>5703.7939999999999</v>
      </c>
      <c r="J27" s="13">
        <v>13689.436</v>
      </c>
      <c r="K27" s="13">
        <v>66077.388999999996</v>
      </c>
      <c r="L27" s="13">
        <v>5047.7939999999999</v>
      </c>
      <c r="M27" s="13">
        <v>4439.9780000000001</v>
      </c>
      <c r="N27" s="4"/>
      <c r="O27" s="4"/>
      <c r="W27" s="2"/>
      <c r="Y27" s="2"/>
    </row>
    <row r="28" spans="1:25" x14ac:dyDescent="0.25">
      <c r="A28" s="15">
        <v>41152</v>
      </c>
      <c r="B28" s="15">
        <v>41166</v>
      </c>
      <c r="C28" s="15">
        <v>41179</v>
      </c>
      <c r="D28" s="13">
        <f t="shared" si="0"/>
        <v>559871.09200000006</v>
      </c>
      <c r="E28" s="13">
        <v>73624.494000000006</v>
      </c>
      <c r="F28" s="13">
        <v>57640.616000000002</v>
      </c>
      <c r="G28" s="13">
        <v>305118.51699999999</v>
      </c>
      <c r="H28" s="13">
        <v>27960.258000000002</v>
      </c>
      <c r="I28" s="13">
        <v>5513.7449999999999</v>
      </c>
      <c r="J28" s="13">
        <v>13600.682000000001</v>
      </c>
      <c r="K28" s="13">
        <v>66918.13</v>
      </c>
      <c r="L28" s="13">
        <v>5056.7650000000003</v>
      </c>
      <c r="M28" s="13">
        <v>4437.8850000000002</v>
      </c>
      <c r="N28" s="4"/>
      <c r="O28" s="4"/>
      <c r="W28" s="2"/>
      <c r="Y28" s="2"/>
    </row>
    <row r="29" spans="1:25" x14ac:dyDescent="0.25">
      <c r="A29" s="15">
        <v>41166</v>
      </c>
      <c r="B29" s="15">
        <v>41180</v>
      </c>
      <c r="C29" s="15">
        <v>41193</v>
      </c>
      <c r="D29" s="13">
        <f t="shared" si="0"/>
        <v>569594.37300000002</v>
      </c>
      <c r="E29" s="13">
        <v>78473.048999999999</v>
      </c>
      <c r="F29" s="13">
        <v>61745.525000000001</v>
      </c>
      <c r="G29" s="13">
        <v>307051.33299999998</v>
      </c>
      <c r="H29" s="13">
        <v>29970.79</v>
      </c>
      <c r="I29" s="13">
        <v>5597.7340000000004</v>
      </c>
      <c r="J29" s="13">
        <v>13529.177</v>
      </c>
      <c r="K29" s="13">
        <v>63980.743000000002</v>
      </c>
      <c r="L29" s="13">
        <v>4876.54</v>
      </c>
      <c r="M29" s="13">
        <v>4369.482</v>
      </c>
      <c r="N29" s="4"/>
      <c r="O29" s="4"/>
      <c r="W29" s="2"/>
      <c r="Y29" s="2"/>
    </row>
    <row r="30" spans="1:25" x14ac:dyDescent="0.25">
      <c r="A30" s="15">
        <v>41180</v>
      </c>
      <c r="B30" s="15">
        <v>41194</v>
      </c>
      <c r="C30" s="15">
        <v>41207</v>
      </c>
      <c r="D30" s="13">
        <f t="shared" si="0"/>
        <v>568057.78700000001</v>
      </c>
      <c r="E30" s="13">
        <v>78691.922999999995</v>
      </c>
      <c r="F30" s="13">
        <v>61379.875</v>
      </c>
      <c r="G30" s="13">
        <v>305166.43900000001</v>
      </c>
      <c r="H30" s="13">
        <v>31114.859</v>
      </c>
      <c r="I30" s="13">
        <v>5182.0360000000001</v>
      </c>
      <c r="J30" s="13">
        <v>13543.841</v>
      </c>
      <c r="K30" s="13">
        <v>64064.921999999999</v>
      </c>
      <c r="L30" s="13">
        <v>4698.0609999999997</v>
      </c>
      <c r="M30" s="13">
        <v>4215.8310000000001</v>
      </c>
      <c r="N30" s="4"/>
      <c r="O30" s="4"/>
      <c r="W30" s="2"/>
      <c r="Y30" s="2"/>
    </row>
    <row r="31" spans="1:25" x14ac:dyDescent="0.25">
      <c r="A31" s="15">
        <v>41194</v>
      </c>
      <c r="B31" s="15">
        <v>41208</v>
      </c>
      <c r="C31" s="15">
        <v>41221</v>
      </c>
      <c r="D31" s="13">
        <f t="shared" si="0"/>
        <v>575560.65799999994</v>
      </c>
      <c r="E31" s="13">
        <v>79398.45</v>
      </c>
      <c r="F31" s="13">
        <v>65204.983</v>
      </c>
      <c r="G31" s="13">
        <v>306182.89899999998</v>
      </c>
      <c r="H31" s="13">
        <v>31932.656999999999</v>
      </c>
      <c r="I31" s="13">
        <v>5047.2269999999999</v>
      </c>
      <c r="J31" s="13">
        <v>13421.04</v>
      </c>
      <c r="K31" s="13">
        <v>65465.321000000004</v>
      </c>
      <c r="L31" s="13">
        <v>4712.7</v>
      </c>
      <c r="M31" s="13">
        <v>4195.3810000000003</v>
      </c>
      <c r="N31" s="4"/>
      <c r="O31" s="4"/>
      <c r="W31" s="2"/>
      <c r="Y31" s="2"/>
    </row>
    <row r="32" spans="1:25" x14ac:dyDescent="0.25">
      <c r="A32" s="15">
        <v>41208</v>
      </c>
      <c r="B32" s="15">
        <v>41222</v>
      </c>
      <c r="C32" s="15">
        <v>41235</v>
      </c>
      <c r="D32" s="13">
        <f t="shared" si="0"/>
        <v>572924.80200000014</v>
      </c>
      <c r="E32" s="13">
        <v>76524.508000000002</v>
      </c>
      <c r="F32" s="13">
        <v>66127.975000000006</v>
      </c>
      <c r="G32" s="13">
        <v>307694.92700000003</v>
      </c>
      <c r="H32" s="13">
        <v>31558.607</v>
      </c>
      <c r="I32" s="13">
        <v>5121.3639999999996</v>
      </c>
      <c r="J32" s="13">
        <v>13370.852000000001</v>
      </c>
      <c r="K32" s="13">
        <v>63458.69</v>
      </c>
      <c r="L32" s="13">
        <v>4872.78</v>
      </c>
      <c r="M32" s="13">
        <v>4195.0990000000002</v>
      </c>
      <c r="N32" s="4"/>
      <c r="O32" s="4"/>
      <c r="W32" s="2"/>
      <c r="Y32" s="2"/>
    </row>
    <row r="33" spans="1:25" x14ac:dyDescent="0.25">
      <c r="A33" s="15">
        <v>41222</v>
      </c>
      <c r="B33" s="15">
        <v>41236</v>
      </c>
      <c r="C33" s="15">
        <v>41249</v>
      </c>
      <c r="D33" s="13">
        <f t="shared" si="0"/>
        <v>570789.95799999998</v>
      </c>
      <c r="E33" s="13">
        <v>71411.695999999996</v>
      </c>
      <c r="F33" s="13">
        <v>71533.111999999994</v>
      </c>
      <c r="G33" s="13">
        <v>307700.25300000003</v>
      </c>
      <c r="H33" s="13">
        <v>32055.578000000001</v>
      </c>
      <c r="I33" s="13">
        <v>5251.7139999999999</v>
      </c>
      <c r="J33" s="13">
        <v>13538.31</v>
      </c>
      <c r="K33" s="13">
        <v>60555.017999999996</v>
      </c>
      <c r="L33" s="13">
        <v>4553.9650000000001</v>
      </c>
      <c r="M33" s="13">
        <v>4190.3119999999999</v>
      </c>
      <c r="N33" s="4"/>
      <c r="O33" s="4"/>
      <c r="W33" s="2"/>
      <c r="Y33" s="2"/>
    </row>
    <row r="34" spans="1:25" x14ac:dyDescent="0.25">
      <c r="A34" s="15">
        <v>41236</v>
      </c>
      <c r="B34" s="15">
        <v>41250</v>
      </c>
      <c r="C34" s="15">
        <v>41263</v>
      </c>
      <c r="D34" s="13">
        <f t="shared" si="0"/>
        <v>581716.92800000007</v>
      </c>
      <c r="E34" s="13">
        <v>74615.960999999996</v>
      </c>
      <c r="F34" s="13">
        <v>74027.054999999993</v>
      </c>
      <c r="G34" s="13">
        <v>308547.685</v>
      </c>
      <c r="H34" s="13">
        <v>33107.807000000001</v>
      </c>
      <c r="I34" s="13">
        <v>5477.1790000000001</v>
      </c>
      <c r="J34" s="13">
        <v>13648.332</v>
      </c>
      <c r="K34" s="13">
        <v>62870.63</v>
      </c>
      <c r="L34" s="13">
        <v>5239.8760000000002</v>
      </c>
      <c r="M34" s="13">
        <v>4182.4030000000002</v>
      </c>
      <c r="N34" s="4"/>
      <c r="O34" s="4"/>
      <c r="W34" s="2"/>
      <c r="Y34" s="2"/>
    </row>
    <row r="35" spans="1:25" x14ac:dyDescent="0.25">
      <c r="A35" s="15">
        <v>41250</v>
      </c>
      <c r="B35" s="15">
        <v>41264</v>
      </c>
      <c r="C35" s="15">
        <v>41277</v>
      </c>
      <c r="D35" s="13">
        <f t="shared" si="0"/>
        <v>584909.68500000006</v>
      </c>
      <c r="E35" s="13">
        <v>70311.712</v>
      </c>
      <c r="F35" s="13">
        <v>78925.756999999998</v>
      </c>
      <c r="G35" s="13">
        <v>309068.74</v>
      </c>
      <c r="H35" s="13">
        <v>33883.659</v>
      </c>
      <c r="I35" s="13">
        <v>5793.3789999999999</v>
      </c>
      <c r="J35" s="13">
        <v>13658.772000000001</v>
      </c>
      <c r="K35" s="13">
        <v>63887.572</v>
      </c>
      <c r="L35" s="13">
        <v>5199.375</v>
      </c>
      <c r="M35" s="13">
        <v>4180.7190000000001</v>
      </c>
      <c r="N35" s="4"/>
      <c r="O35" s="4"/>
      <c r="W35" s="2"/>
      <c r="Y35" s="2"/>
    </row>
    <row r="36" spans="1:25" x14ac:dyDescent="0.25">
      <c r="A36" s="15">
        <v>41264</v>
      </c>
      <c r="B36" s="15">
        <v>41278</v>
      </c>
      <c r="C36" s="15">
        <v>41291</v>
      </c>
      <c r="D36" s="13">
        <f t="shared" si="0"/>
        <v>598888.85199999996</v>
      </c>
      <c r="E36" s="13">
        <v>79481.437999999995</v>
      </c>
      <c r="F36" s="13">
        <v>77563.722999999998</v>
      </c>
      <c r="G36" s="13">
        <v>310886.56400000001</v>
      </c>
      <c r="H36" s="13">
        <v>32871.086000000003</v>
      </c>
      <c r="I36" s="13">
        <v>6058.4350000000004</v>
      </c>
      <c r="J36" s="13">
        <v>13582.514999999999</v>
      </c>
      <c r="K36" s="13">
        <v>68816.286999999997</v>
      </c>
      <c r="L36" s="13">
        <v>5197.0209999999997</v>
      </c>
      <c r="M36" s="13">
        <v>4431.7830000000004</v>
      </c>
      <c r="N36" s="4"/>
      <c r="O36" s="4"/>
      <c r="W36" s="2"/>
      <c r="Y36" s="2"/>
    </row>
    <row r="37" spans="1:25" x14ac:dyDescent="0.25">
      <c r="A37" s="15">
        <v>41278</v>
      </c>
      <c r="B37" s="15">
        <v>41292</v>
      </c>
      <c r="C37" s="15">
        <v>41305</v>
      </c>
      <c r="D37" s="13">
        <f t="shared" si="0"/>
        <v>597174.88</v>
      </c>
      <c r="E37" s="13">
        <v>74565.67</v>
      </c>
      <c r="F37" s="13">
        <v>77310.663</v>
      </c>
      <c r="G37" s="13">
        <v>314222.24800000002</v>
      </c>
      <c r="H37" s="13">
        <v>32968.928</v>
      </c>
      <c r="I37" s="13">
        <v>7612.9129999999996</v>
      </c>
      <c r="J37" s="13">
        <v>13336.252</v>
      </c>
      <c r="K37" s="13">
        <v>67509.004000000001</v>
      </c>
      <c r="L37" s="13">
        <v>5215.55</v>
      </c>
      <c r="M37" s="13">
        <v>4433.652</v>
      </c>
      <c r="N37" s="4"/>
      <c r="O37" s="4"/>
      <c r="W37" s="2"/>
      <c r="Y37" s="2"/>
    </row>
    <row r="38" spans="1:25" x14ac:dyDescent="0.25">
      <c r="A38" s="15">
        <v>41292</v>
      </c>
      <c r="B38" s="15">
        <v>41306</v>
      </c>
      <c r="C38" s="15">
        <v>41319</v>
      </c>
      <c r="D38" s="13">
        <f t="shared" si="0"/>
        <v>595855.40599999996</v>
      </c>
      <c r="E38" s="13">
        <v>77729.09</v>
      </c>
      <c r="F38" s="13">
        <v>71722.313999999998</v>
      </c>
      <c r="G38" s="13">
        <v>314515.98599999998</v>
      </c>
      <c r="H38" s="13">
        <v>32190.535</v>
      </c>
      <c r="I38" s="13">
        <v>9913.1659999999993</v>
      </c>
      <c r="J38" s="13">
        <v>13426.074000000001</v>
      </c>
      <c r="K38" s="13">
        <v>66098.97</v>
      </c>
      <c r="L38" s="13">
        <v>5833.0429999999997</v>
      </c>
      <c r="M38" s="13">
        <v>4426.2280000000001</v>
      </c>
      <c r="N38" s="4"/>
      <c r="O38" s="4"/>
      <c r="W38" s="2"/>
      <c r="Y38" s="2"/>
    </row>
    <row r="39" spans="1:25" x14ac:dyDescent="0.25">
      <c r="A39" s="15">
        <v>41306</v>
      </c>
      <c r="B39" s="15">
        <v>41320</v>
      </c>
      <c r="C39" s="15">
        <v>41333</v>
      </c>
      <c r="D39" s="13">
        <f t="shared" si="0"/>
        <v>593043.18400000012</v>
      </c>
      <c r="E39" s="13">
        <v>78336.081000000006</v>
      </c>
      <c r="F39" s="13">
        <v>70934.717999999993</v>
      </c>
      <c r="G39" s="13">
        <v>309993.21000000002</v>
      </c>
      <c r="H39" s="13">
        <v>33486.552000000003</v>
      </c>
      <c r="I39" s="13">
        <v>12892.156999999999</v>
      </c>
      <c r="J39" s="13">
        <v>12808.814</v>
      </c>
      <c r="K39" s="13">
        <v>64791.762000000002</v>
      </c>
      <c r="L39" s="13">
        <v>5909.0320000000002</v>
      </c>
      <c r="M39" s="13">
        <v>3890.8580000000002</v>
      </c>
      <c r="N39" s="4"/>
      <c r="O39" s="4"/>
      <c r="W39" s="2"/>
      <c r="Y39" s="2"/>
    </row>
    <row r="40" spans="1:25" x14ac:dyDescent="0.25">
      <c r="A40" s="15">
        <v>41320</v>
      </c>
      <c r="B40" s="15">
        <v>41334</v>
      </c>
      <c r="C40" s="15">
        <v>41347</v>
      </c>
      <c r="D40" s="13">
        <f t="shared" si="0"/>
        <v>603250.19099999988</v>
      </c>
      <c r="E40" s="13">
        <v>83118.554000000004</v>
      </c>
      <c r="F40" s="13">
        <v>70754.671000000002</v>
      </c>
      <c r="G40" s="13">
        <v>308863.71999999997</v>
      </c>
      <c r="H40" s="13">
        <v>34421.042999999998</v>
      </c>
      <c r="I40" s="13">
        <v>14707.216</v>
      </c>
      <c r="J40" s="13">
        <v>12988.495999999999</v>
      </c>
      <c r="K40" s="13">
        <v>67475.179999999993</v>
      </c>
      <c r="L40" s="13">
        <v>6215.6459999999997</v>
      </c>
      <c r="M40" s="13">
        <v>4705.665</v>
      </c>
      <c r="N40" s="4"/>
      <c r="O40" s="4"/>
      <c r="W40" s="2"/>
      <c r="Y40" s="2"/>
    </row>
    <row r="41" spans="1:25" x14ac:dyDescent="0.25">
      <c r="A41" s="15">
        <v>41334</v>
      </c>
      <c r="B41" s="15">
        <v>41348</v>
      </c>
      <c r="C41" s="15">
        <v>41361</v>
      </c>
      <c r="D41" s="13">
        <f t="shared" si="0"/>
        <v>607306.36900000006</v>
      </c>
      <c r="E41" s="13">
        <v>80558.205000000002</v>
      </c>
      <c r="F41" s="13">
        <v>73845.324999999997</v>
      </c>
      <c r="G41" s="13">
        <v>308638.47899999999</v>
      </c>
      <c r="H41" s="13">
        <v>35358.737000000001</v>
      </c>
      <c r="I41" s="13">
        <v>16162.347</v>
      </c>
      <c r="J41" s="13">
        <v>12897.397000000001</v>
      </c>
      <c r="K41" s="13">
        <v>68913.077000000005</v>
      </c>
      <c r="L41" s="13">
        <v>6268.8549999999996</v>
      </c>
      <c r="M41" s="13">
        <v>4663.9470000000001</v>
      </c>
      <c r="N41" s="4"/>
      <c r="O41" s="4"/>
      <c r="W41" s="2"/>
      <c r="Y41" s="2"/>
    </row>
    <row r="42" spans="1:25" x14ac:dyDescent="0.25">
      <c r="A42" s="15">
        <v>41348</v>
      </c>
      <c r="B42" s="15">
        <v>41362</v>
      </c>
      <c r="C42" s="15">
        <v>41375</v>
      </c>
      <c r="D42" s="13">
        <f t="shared" si="0"/>
        <v>617699.98599999992</v>
      </c>
      <c r="E42" s="13">
        <v>85511.364000000001</v>
      </c>
      <c r="F42" s="13">
        <v>74547.593999999997</v>
      </c>
      <c r="G42" s="13">
        <v>308819.13</v>
      </c>
      <c r="H42" s="13">
        <v>36085.186000000002</v>
      </c>
      <c r="I42" s="13">
        <v>18056.829000000002</v>
      </c>
      <c r="J42" s="13">
        <v>12888.62</v>
      </c>
      <c r="K42" s="13">
        <v>68757.081000000006</v>
      </c>
      <c r="L42" s="13">
        <v>6607.8670000000002</v>
      </c>
      <c r="M42" s="13">
        <v>6426.3149999999996</v>
      </c>
      <c r="N42" s="4"/>
      <c r="O42" s="4"/>
      <c r="W42" s="2"/>
      <c r="Y42" s="2"/>
    </row>
    <row r="43" spans="1:25" x14ac:dyDescent="0.25">
      <c r="A43" s="15">
        <v>41362</v>
      </c>
      <c r="B43" s="15">
        <v>41376</v>
      </c>
      <c r="C43" s="15">
        <v>41389</v>
      </c>
      <c r="D43" s="13">
        <f t="shared" si="0"/>
        <v>619383.58100000012</v>
      </c>
      <c r="E43" s="13">
        <v>85923.96</v>
      </c>
      <c r="F43" s="13">
        <v>73519.498000000007</v>
      </c>
      <c r="G43" s="13">
        <v>307770.701</v>
      </c>
      <c r="H43" s="13">
        <v>35169.410000000003</v>
      </c>
      <c r="I43" s="13">
        <v>20717.101999999999</v>
      </c>
      <c r="J43" s="13">
        <v>12892.37</v>
      </c>
      <c r="K43" s="13">
        <v>70003.209000000003</v>
      </c>
      <c r="L43" s="13">
        <v>6441.3879999999999</v>
      </c>
      <c r="M43" s="13">
        <v>6945.9430000000002</v>
      </c>
      <c r="N43" s="4"/>
      <c r="O43" s="4"/>
      <c r="W43" s="2"/>
      <c r="Y43" s="2"/>
    </row>
    <row r="44" spans="1:25" x14ac:dyDescent="0.25">
      <c r="A44" s="15">
        <v>41376</v>
      </c>
      <c r="B44" s="15">
        <v>41390</v>
      </c>
      <c r="C44" s="15">
        <v>41403</v>
      </c>
      <c r="D44" s="13">
        <f t="shared" si="0"/>
        <v>615410.42500000005</v>
      </c>
      <c r="E44" s="13">
        <v>84335.778999999995</v>
      </c>
      <c r="F44" s="13">
        <v>74238.245999999999</v>
      </c>
      <c r="G44" s="13">
        <v>305557.04200000002</v>
      </c>
      <c r="H44" s="13">
        <v>35652.743000000002</v>
      </c>
      <c r="I44" s="13">
        <v>21426.186000000002</v>
      </c>
      <c r="J44" s="13">
        <v>12799.484</v>
      </c>
      <c r="K44" s="13">
        <v>67674.06</v>
      </c>
      <c r="L44" s="13">
        <v>6642.98</v>
      </c>
      <c r="M44" s="13">
        <v>7083.9049999999997</v>
      </c>
      <c r="N44" s="4"/>
      <c r="O44" s="4"/>
      <c r="W44" s="2"/>
      <c r="Y44" s="2"/>
    </row>
    <row r="45" spans="1:25" x14ac:dyDescent="0.25">
      <c r="A45" s="15">
        <v>41390</v>
      </c>
      <c r="B45" s="15">
        <v>41404</v>
      </c>
      <c r="C45" s="15">
        <v>41417</v>
      </c>
      <c r="D45" s="13">
        <f t="shared" si="0"/>
        <v>623951.4169999999</v>
      </c>
      <c r="E45" s="13">
        <v>89052.471000000005</v>
      </c>
      <c r="F45" s="13">
        <v>76033.678</v>
      </c>
      <c r="G45" s="13">
        <v>303247.76799999998</v>
      </c>
      <c r="H45" s="13">
        <v>36607.500999999997</v>
      </c>
      <c r="I45" s="13">
        <v>23000.134999999998</v>
      </c>
      <c r="J45" s="13">
        <v>12670.008</v>
      </c>
      <c r="K45" s="13">
        <v>69689.976999999999</v>
      </c>
      <c r="L45" s="13">
        <v>6567.36</v>
      </c>
      <c r="M45" s="13">
        <v>7082.5190000000002</v>
      </c>
      <c r="N45" s="4"/>
      <c r="O45" s="4"/>
      <c r="W45" s="2"/>
      <c r="Y45" s="2"/>
    </row>
    <row r="46" spans="1:25" x14ac:dyDescent="0.25">
      <c r="A46" s="15">
        <v>41404</v>
      </c>
      <c r="B46" s="15">
        <v>41418</v>
      </c>
      <c r="C46" s="15">
        <v>41431</v>
      </c>
      <c r="D46" s="13">
        <f t="shared" si="0"/>
        <v>625726.77300000004</v>
      </c>
      <c r="E46" s="13">
        <v>83268.168999999994</v>
      </c>
      <c r="F46" s="13">
        <v>82356.069000000003</v>
      </c>
      <c r="G46" s="13">
        <v>303474.66899999999</v>
      </c>
      <c r="H46" s="13">
        <v>37244.565000000002</v>
      </c>
      <c r="I46" s="13">
        <v>24278.472000000002</v>
      </c>
      <c r="J46" s="13">
        <v>12812.205</v>
      </c>
      <c r="K46" s="13">
        <v>68629.877999999997</v>
      </c>
      <c r="L46" s="13">
        <v>6582.741</v>
      </c>
      <c r="M46" s="13">
        <v>7080.0050000000001</v>
      </c>
      <c r="N46" s="4"/>
      <c r="O46" s="4"/>
      <c r="W46" s="2"/>
      <c r="Y46" s="2"/>
    </row>
    <row r="47" spans="1:25" x14ac:dyDescent="0.25">
      <c r="A47" s="15">
        <v>41418</v>
      </c>
      <c r="B47" s="15">
        <v>41432</v>
      </c>
      <c r="C47" s="15">
        <v>41445</v>
      </c>
      <c r="D47" s="13">
        <f t="shared" si="0"/>
        <v>634034.62199999986</v>
      </c>
      <c r="E47" s="13">
        <v>86099.432000000001</v>
      </c>
      <c r="F47" s="13">
        <v>80854.179000000004</v>
      </c>
      <c r="G47" s="13">
        <v>304541.59700000001</v>
      </c>
      <c r="H47" s="13">
        <v>38701.951000000001</v>
      </c>
      <c r="I47" s="13">
        <v>25972.511999999999</v>
      </c>
      <c r="J47" s="13">
        <v>13146.477000000001</v>
      </c>
      <c r="K47" s="13">
        <v>69577.622000000003</v>
      </c>
      <c r="L47" s="13">
        <v>7428.8670000000002</v>
      </c>
      <c r="M47" s="13">
        <v>7711.9849999999997</v>
      </c>
      <c r="N47" s="4"/>
      <c r="O47" s="4"/>
      <c r="W47" s="2"/>
      <c r="Y47" s="2"/>
    </row>
    <row r="48" spans="1:25" x14ac:dyDescent="0.25">
      <c r="A48" s="15">
        <v>41432</v>
      </c>
      <c r="B48" s="15">
        <v>41446</v>
      </c>
      <c r="C48" s="15">
        <v>41459</v>
      </c>
      <c r="D48" s="13">
        <f t="shared" si="0"/>
        <v>638873.91500000004</v>
      </c>
      <c r="E48" s="13">
        <v>85462.032000000007</v>
      </c>
      <c r="F48" s="13">
        <v>87208.285000000003</v>
      </c>
      <c r="G48" s="13">
        <v>302957.61099999998</v>
      </c>
      <c r="H48" s="13">
        <v>38368.080000000002</v>
      </c>
      <c r="I48" s="13">
        <v>27224.095000000001</v>
      </c>
      <c r="J48" s="13">
        <v>13060.594999999999</v>
      </c>
      <c r="K48" s="13">
        <v>69206.073999999993</v>
      </c>
      <c r="L48" s="13">
        <v>7228.902</v>
      </c>
      <c r="M48" s="13">
        <v>8158.241</v>
      </c>
      <c r="N48" s="4"/>
      <c r="O48" s="4"/>
      <c r="W48" s="2"/>
      <c r="Y48" s="2"/>
    </row>
    <row r="49" spans="1:25" x14ac:dyDescent="0.25">
      <c r="A49" s="15">
        <v>41446</v>
      </c>
      <c r="B49" s="15">
        <v>41460</v>
      </c>
      <c r="C49" s="15">
        <v>41473</v>
      </c>
      <c r="D49" s="13">
        <f t="shared" si="0"/>
        <v>649801.78499999992</v>
      </c>
      <c r="E49" s="13">
        <v>93904.521999999997</v>
      </c>
      <c r="F49" s="13">
        <v>87254.611999999994</v>
      </c>
      <c r="G49" s="13">
        <v>304106.11900000001</v>
      </c>
      <c r="H49" s="13">
        <v>37967.173000000003</v>
      </c>
      <c r="I49" s="13">
        <v>27342.944</v>
      </c>
      <c r="J49" s="13">
        <v>13051.846</v>
      </c>
      <c r="K49" s="13">
        <v>71124.357999999993</v>
      </c>
      <c r="L49" s="13">
        <v>6925.4719999999998</v>
      </c>
      <c r="M49" s="13">
        <v>8124.7389999999996</v>
      </c>
      <c r="N49" s="4"/>
      <c r="O49" s="4"/>
      <c r="W49" s="2"/>
      <c r="Y49" s="2"/>
    </row>
    <row r="50" spans="1:25" x14ac:dyDescent="0.25">
      <c r="A50" s="15">
        <v>41460</v>
      </c>
      <c r="B50" s="15">
        <v>41474</v>
      </c>
      <c r="C50" s="15">
        <v>41487</v>
      </c>
      <c r="D50" s="13">
        <f t="shared" si="0"/>
        <v>646294.26899999997</v>
      </c>
      <c r="E50" s="13">
        <v>89239.282000000007</v>
      </c>
      <c r="F50" s="13">
        <v>85835.832999999999</v>
      </c>
      <c r="G50" s="13">
        <v>311062.70500000002</v>
      </c>
      <c r="H50" s="13">
        <v>36094.053999999996</v>
      </c>
      <c r="I50" s="13">
        <v>26799.672999999999</v>
      </c>
      <c r="J50" s="13">
        <v>12978.663</v>
      </c>
      <c r="K50" s="13">
        <v>69162.505999999994</v>
      </c>
      <c r="L50" s="13">
        <v>7004.0529999999999</v>
      </c>
      <c r="M50" s="13">
        <v>8117.5</v>
      </c>
      <c r="N50" s="4"/>
      <c r="O50" s="4"/>
      <c r="W50" s="2"/>
      <c r="Y50" s="2"/>
    </row>
    <row r="51" spans="1:25" x14ac:dyDescent="0.25">
      <c r="A51" s="15">
        <v>41474</v>
      </c>
      <c r="B51" s="15">
        <v>41488</v>
      </c>
      <c r="C51" s="15">
        <v>41501</v>
      </c>
      <c r="D51" s="13">
        <f t="shared" si="0"/>
        <v>650470.89900000021</v>
      </c>
      <c r="E51" s="13">
        <v>94025.974000000002</v>
      </c>
      <c r="F51" s="13">
        <v>83378.165999999997</v>
      </c>
      <c r="G51" s="13">
        <v>317441.92599999998</v>
      </c>
      <c r="H51" s="13">
        <v>34402.985999999997</v>
      </c>
      <c r="I51" s="13">
        <v>25103.005000000001</v>
      </c>
      <c r="J51" s="13">
        <v>12646.812</v>
      </c>
      <c r="K51" s="13">
        <v>68383.608999999997</v>
      </c>
      <c r="L51" s="13">
        <v>6972.8980000000001</v>
      </c>
      <c r="M51" s="13">
        <v>8115.5230000000001</v>
      </c>
      <c r="N51" s="4"/>
      <c r="O51" s="4"/>
      <c r="W51" s="2"/>
      <c r="Y51" s="2"/>
    </row>
    <row r="52" spans="1:25" x14ac:dyDescent="0.25">
      <c r="A52" s="15">
        <v>41488</v>
      </c>
      <c r="B52" s="15">
        <v>41502</v>
      </c>
      <c r="C52" s="15">
        <v>41515</v>
      </c>
      <c r="D52" s="13">
        <f t="shared" si="0"/>
        <v>650170.03499999992</v>
      </c>
      <c r="E52" s="13">
        <v>95701.442999999999</v>
      </c>
      <c r="F52" s="13">
        <v>81343.929000000004</v>
      </c>
      <c r="G52" s="13">
        <v>318723.00300000003</v>
      </c>
      <c r="H52" s="13">
        <v>32524.168000000001</v>
      </c>
      <c r="I52" s="13">
        <v>24767.834999999999</v>
      </c>
      <c r="J52" s="13">
        <v>12588.669</v>
      </c>
      <c r="K52" s="13">
        <v>69601.034</v>
      </c>
      <c r="L52" s="13">
        <v>6961.7079999999996</v>
      </c>
      <c r="M52" s="13">
        <v>7958.2460000000001</v>
      </c>
      <c r="N52" s="4"/>
      <c r="O52" s="4"/>
      <c r="W52" s="2"/>
      <c r="Y52" s="2"/>
    </row>
    <row r="53" spans="1:25" x14ac:dyDescent="0.25">
      <c r="A53" s="15">
        <v>41502</v>
      </c>
      <c r="B53" s="15">
        <v>41519</v>
      </c>
      <c r="C53" s="15">
        <v>41529</v>
      </c>
      <c r="D53" s="13">
        <f t="shared" si="0"/>
        <v>655087.87799999979</v>
      </c>
      <c r="E53" s="13">
        <v>99054.948000000004</v>
      </c>
      <c r="F53" s="13">
        <v>84060.774000000005</v>
      </c>
      <c r="G53" s="13">
        <v>316517.06199999998</v>
      </c>
      <c r="H53" s="13">
        <v>32049.095000000001</v>
      </c>
      <c r="I53" s="13">
        <v>24896.504000000001</v>
      </c>
      <c r="J53" s="13">
        <v>12466.303</v>
      </c>
      <c r="K53" s="13">
        <v>70788.827999999994</v>
      </c>
      <c r="L53" s="13">
        <v>7317.7250000000004</v>
      </c>
      <c r="M53" s="13">
        <v>7936.6390000000001</v>
      </c>
      <c r="N53" s="4"/>
      <c r="O53" s="4"/>
      <c r="W53" s="2"/>
      <c r="Y53" s="2"/>
    </row>
    <row r="54" spans="1:25" x14ac:dyDescent="0.25">
      <c r="A54" s="15">
        <v>41519</v>
      </c>
      <c r="B54" s="15">
        <v>41530</v>
      </c>
      <c r="C54" s="15">
        <v>41543</v>
      </c>
      <c r="D54" s="13">
        <f t="shared" si="0"/>
        <v>649317.43200000003</v>
      </c>
      <c r="E54" s="13">
        <v>97637.884000000005</v>
      </c>
      <c r="F54" s="13">
        <v>82142.426000000007</v>
      </c>
      <c r="G54" s="13">
        <v>320928.78700000001</v>
      </c>
      <c r="H54" s="13">
        <v>29697.397000000001</v>
      </c>
      <c r="I54" s="13">
        <v>23660.155999999999</v>
      </c>
      <c r="J54" s="13">
        <v>12127.384</v>
      </c>
      <c r="K54" s="13">
        <v>67883.044999999998</v>
      </c>
      <c r="L54" s="13">
        <v>7343.2889999999998</v>
      </c>
      <c r="M54" s="13">
        <v>7897.0640000000003</v>
      </c>
      <c r="N54" s="4"/>
      <c r="O54" s="4"/>
      <c r="W54" s="2"/>
      <c r="Y54" s="2"/>
    </row>
    <row r="55" spans="1:25" x14ac:dyDescent="0.25">
      <c r="A55" s="15">
        <v>41530</v>
      </c>
      <c r="B55" s="15">
        <v>41544</v>
      </c>
      <c r="C55" s="15">
        <v>41557</v>
      </c>
      <c r="D55" s="13">
        <f t="shared" si="0"/>
        <v>661205.53300000005</v>
      </c>
      <c r="E55" s="13">
        <v>100674.50199999999</v>
      </c>
      <c r="F55" s="13">
        <v>84885.394</v>
      </c>
      <c r="G55" s="13">
        <v>328595.30300000001</v>
      </c>
      <c r="H55" s="13">
        <v>28096.828000000001</v>
      </c>
      <c r="I55" s="13">
        <v>21857.548999999999</v>
      </c>
      <c r="J55" s="13">
        <v>12043.550999999999</v>
      </c>
      <c r="K55" s="13">
        <v>69864.236000000004</v>
      </c>
      <c r="L55" s="13">
        <v>7307.4319999999998</v>
      </c>
      <c r="M55" s="13">
        <v>7880.7380000000003</v>
      </c>
      <c r="N55" s="4"/>
      <c r="O55" s="4"/>
      <c r="W55" s="2"/>
      <c r="Y55" s="2"/>
    </row>
    <row r="56" spans="1:25" x14ac:dyDescent="0.25">
      <c r="A56" s="15">
        <v>41544</v>
      </c>
      <c r="B56" s="15">
        <v>41558</v>
      </c>
      <c r="C56" s="15">
        <v>41571</v>
      </c>
      <c r="D56" s="13">
        <f t="shared" si="0"/>
        <v>669961.53600000008</v>
      </c>
      <c r="E56" s="13">
        <v>107575.32399999999</v>
      </c>
      <c r="F56" s="13">
        <v>79616.074999999997</v>
      </c>
      <c r="G56" s="13">
        <v>335965.10600000003</v>
      </c>
      <c r="H56" s="13">
        <v>28801.057000000001</v>
      </c>
      <c r="I56" s="13">
        <v>20701.647000000001</v>
      </c>
      <c r="J56" s="13">
        <v>11928.567999999999</v>
      </c>
      <c r="K56" s="13">
        <v>70301.641000000003</v>
      </c>
      <c r="L56" s="13">
        <v>7206.4740000000002</v>
      </c>
      <c r="M56" s="13">
        <v>7865.6440000000002</v>
      </c>
      <c r="N56" s="4"/>
      <c r="O56" s="4"/>
      <c r="W56" s="2"/>
      <c r="Y56" s="2"/>
    </row>
    <row r="57" spans="1:25" x14ac:dyDescent="0.25">
      <c r="A57" s="15">
        <v>41558</v>
      </c>
      <c r="B57" s="15">
        <v>41572</v>
      </c>
      <c r="C57" s="15">
        <v>41585</v>
      </c>
      <c r="D57" s="13">
        <f t="shared" si="0"/>
        <v>675360.11399999994</v>
      </c>
      <c r="E57" s="13">
        <v>107368.85799999999</v>
      </c>
      <c r="F57" s="13">
        <v>77303.09</v>
      </c>
      <c r="G57" s="13">
        <v>339008.17599999998</v>
      </c>
      <c r="H57" s="13">
        <v>29564.633000000002</v>
      </c>
      <c r="I57" s="13">
        <v>19635.231</v>
      </c>
      <c r="J57" s="13">
        <v>11913.848</v>
      </c>
      <c r="K57" s="13">
        <v>75420.782999999996</v>
      </c>
      <c r="L57" s="13">
        <v>7290.86</v>
      </c>
      <c r="M57" s="13">
        <v>7854.6350000000002</v>
      </c>
      <c r="N57" s="4"/>
      <c r="O57" s="4"/>
      <c r="W57" s="2"/>
      <c r="Y57" s="2"/>
    </row>
    <row r="58" spans="1:25" x14ac:dyDescent="0.25">
      <c r="A58" s="15">
        <v>41572</v>
      </c>
      <c r="B58" s="15">
        <v>41586</v>
      </c>
      <c r="C58" s="15">
        <v>41599</v>
      </c>
      <c r="D58" s="13">
        <f t="shared" si="0"/>
        <v>667560.16599999997</v>
      </c>
      <c r="E58" s="13">
        <v>99485.163</v>
      </c>
      <c r="F58" s="13">
        <v>83838.75</v>
      </c>
      <c r="G58" s="13">
        <v>335755.06199999998</v>
      </c>
      <c r="H58" s="13">
        <v>29545.975999999999</v>
      </c>
      <c r="I58" s="13">
        <v>19449.314999999999</v>
      </c>
      <c r="J58" s="13">
        <v>11768.718999999999</v>
      </c>
      <c r="K58" s="13">
        <v>72575.505000000005</v>
      </c>
      <c r="L58" s="13">
        <v>7287.4780000000001</v>
      </c>
      <c r="M58" s="13">
        <v>7854.1980000000003</v>
      </c>
      <c r="N58" s="4"/>
      <c r="O58" s="4"/>
      <c r="W58" s="2"/>
      <c r="Y58" s="2"/>
    </row>
    <row r="59" spans="1:25" x14ac:dyDescent="0.25">
      <c r="A59" s="15">
        <v>41586</v>
      </c>
      <c r="B59" s="15">
        <v>41600</v>
      </c>
      <c r="C59" s="15">
        <v>41613</v>
      </c>
      <c r="D59" s="13">
        <f t="shared" si="0"/>
        <v>665246.75100000005</v>
      </c>
      <c r="E59" s="13">
        <v>94329.293999999994</v>
      </c>
      <c r="F59" s="13">
        <v>88971.914000000004</v>
      </c>
      <c r="G59" s="13">
        <v>338148.18199999997</v>
      </c>
      <c r="H59" s="13">
        <v>29261.155999999999</v>
      </c>
      <c r="I59" s="13">
        <v>18460.526999999998</v>
      </c>
      <c r="J59" s="13">
        <v>11647.598</v>
      </c>
      <c r="K59" s="13">
        <v>69340.065000000002</v>
      </c>
      <c r="L59" s="13">
        <v>7246.0219999999999</v>
      </c>
      <c r="M59" s="13">
        <v>7841.9930000000004</v>
      </c>
      <c r="N59" s="4"/>
      <c r="O59" s="4"/>
      <c r="W59" s="2"/>
      <c r="Y59" s="2"/>
    </row>
    <row r="60" spans="1:25" x14ac:dyDescent="0.25">
      <c r="A60" s="15">
        <v>41600</v>
      </c>
      <c r="B60" s="15">
        <v>41614</v>
      </c>
      <c r="C60" s="15">
        <v>41627</v>
      </c>
      <c r="D60" s="13">
        <f t="shared" si="0"/>
        <v>666341.27899999998</v>
      </c>
      <c r="E60" s="13">
        <v>97300.4</v>
      </c>
      <c r="F60" s="13">
        <v>80099.933000000005</v>
      </c>
      <c r="G60" s="13">
        <v>344093.99599999998</v>
      </c>
      <c r="H60" s="13">
        <v>28192.651000000002</v>
      </c>
      <c r="I60" s="13">
        <v>18072.460999999999</v>
      </c>
      <c r="J60" s="13">
        <v>11766.15</v>
      </c>
      <c r="K60" s="13">
        <v>71716.664999999994</v>
      </c>
      <c r="L60" s="13">
        <v>7262.0140000000001</v>
      </c>
      <c r="M60" s="13">
        <v>7837.009</v>
      </c>
      <c r="N60" s="4"/>
      <c r="O60" s="4"/>
      <c r="W60" s="2"/>
      <c r="Y60" s="2"/>
    </row>
    <row r="61" spans="1:25" x14ac:dyDescent="0.25">
      <c r="A61" s="16">
        <v>41614</v>
      </c>
      <c r="B61" s="15">
        <v>41628</v>
      </c>
      <c r="C61" s="15">
        <v>41641</v>
      </c>
      <c r="D61" s="13">
        <f t="shared" si="0"/>
        <v>664154.32300000009</v>
      </c>
      <c r="E61" s="13">
        <v>92846.73</v>
      </c>
      <c r="F61" s="13">
        <v>86680.457999999999</v>
      </c>
      <c r="G61" s="13">
        <v>341023.20400000003</v>
      </c>
      <c r="H61" s="13">
        <v>28979.953000000001</v>
      </c>
      <c r="I61" s="13">
        <v>17340.853999999999</v>
      </c>
      <c r="J61" s="13">
        <v>11646.013000000001</v>
      </c>
      <c r="K61" s="13">
        <v>69590.767999999996</v>
      </c>
      <c r="L61" s="13">
        <v>7902.5910000000003</v>
      </c>
      <c r="M61" s="13">
        <v>8143.7520000000004</v>
      </c>
      <c r="N61" s="4"/>
      <c r="O61" s="4"/>
      <c r="W61" s="2"/>
      <c r="Y61" s="2"/>
    </row>
    <row r="62" spans="1:25" x14ac:dyDescent="0.25">
      <c r="A62" s="15">
        <v>41628</v>
      </c>
      <c r="B62" s="15">
        <v>41642</v>
      </c>
      <c r="C62" s="15">
        <v>41655</v>
      </c>
      <c r="D62" s="13">
        <f t="shared" si="0"/>
        <v>674569.06199999992</v>
      </c>
      <c r="E62" s="13">
        <v>102148.539</v>
      </c>
      <c r="F62" s="13">
        <v>87348.542000000001</v>
      </c>
      <c r="G62" s="13">
        <v>339968.777</v>
      </c>
      <c r="H62" s="13">
        <v>27219.722000000002</v>
      </c>
      <c r="I62" s="13">
        <v>18158.268</v>
      </c>
      <c r="J62" s="13">
        <v>11672.608</v>
      </c>
      <c r="K62" s="13">
        <v>71286.687999999995</v>
      </c>
      <c r="L62" s="13">
        <v>8185.6639999999998</v>
      </c>
      <c r="M62" s="13">
        <v>8580.2540000000008</v>
      </c>
      <c r="N62" s="4"/>
      <c r="O62" s="4"/>
      <c r="W62" s="2"/>
      <c r="Y62" s="2"/>
    </row>
    <row r="63" spans="1:25" x14ac:dyDescent="0.25">
      <c r="A63" s="15">
        <v>41642</v>
      </c>
      <c r="B63" s="15">
        <v>41656</v>
      </c>
      <c r="C63" s="15">
        <v>41669</v>
      </c>
      <c r="D63" s="13">
        <f t="shared" si="0"/>
        <v>682347.7969999999</v>
      </c>
      <c r="E63" s="13">
        <v>99695.380999999994</v>
      </c>
      <c r="F63" s="13">
        <v>92082.600999999995</v>
      </c>
      <c r="G63" s="13">
        <v>348239.98100000003</v>
      </c>
      <c r="H63" s="13">
        <v>25509.928</v>
      </c>
      <c r="I63" s="13">
        <v>17551.833999999999</v>
      </c>
      <c r="J63" s="13">
        <v>11465.062</v>
      </c>
      <c r="K63" s="13">
        <v>70833.047999999995</v>
      </c>
      <c r="L63" s="13">
        <v>8152.7150000000001</v>
      </c>
      <c r="M63" s="13">
        <v>8817.2469999999994</v>
      </c>
      <c r="N63" s="4"/>
      <c r="O63" s="4"/>
      <c r="W63" s="2"/>
      <c r="Y63" s="2"/>
    </row>
    <row r="64" spans="1:25" x14ac:dyDescent="0.25">
      <c r="A64" s="16">
        <v>41656</v>
      </c>
      <c r="B64" s="15">
        <v>41670</v>
      </c>
      <c r="C64" s="15">
        <v>41683</v>
      </c>
      <c r="D64" s="13">
        <f t="shared" si="0"/>
        <v>671252.41</v>
      </c>
      <c r="E64" s="13">
        <v>103028.43700000001</v>
      </c>
      <c r="F64" s="13">
        <v>88968.948999999993</v>
      </c>
      <c r="G64" s="13">
        <v>350902.03200000001</v>
      </c>
      <c r="H64" s="13">
        <v>24963.254000000001</v>
      </c>
      <c r="I64" s="13">
        <v>17256.562999999998</v>
      </c>
      <c r="J64" s="13">
        <v>10952.388000000001</v>
      </c>
      <c r="K64" s="13">
        <v>58439.582000000002</v>
      </c>
      <c r="L64" s="13">
        <v>8124.598</v>
      </c>
      <c r="M64" s="13">
        <v>8616.607</v>
      </c>
      <c r="N64" s="4"/>
      <c r="O64" s="4"/>
      <c r="P64" s="4"/>
      <c r="W64" s="2"/>
      <c r="Y64" s="2"/>
    </row>
    <row r="65" spans="1:25" x14ac:dyDescent="0.25">
      <c r="A65" s="15">
        <v>41670</v>
      </c>
      <c r="B65" s="15">
        <v>41684</v>
      </c>
      <c r="C65" s="15">
        <v>41697</v>
      </c>
      <c r="D65" s="13">
        <f t="shared" si="0"/>
        <v>664871.647</v>
      </c>
      <c r="E65" s="13">
        <v>104244.617</v>
      </c>
      <c r="F65" s="13">
        <v>84368.407000000007</v>
      </c>
      <c r="G65" s="13">
        <v>347972.63799999998</v>
      </c>
      <c r="H65" s="13">
        <v>24279.726999999999</v>
      </c>
      <c r="I65" s="13">
        <v>16573.955999999998</v>
      </c>
      <c r="J65" s="13">
        <v>10644.366</v>
      </c>
      <c r="K65" s="13">
        <v>59994.938999999998</v>
      </c>
      <c r="L65" s="13">
        <v>8163.7889999999998</v>
      </c>
      <c r="M65" s="13">
        <v>8629.2080000000005</v>
      </c>
      <c r="N65" s="4"/>
      <c r="O65" s="4"/>
      <c r="P65" s="4"/>
      <c r="W65" s="2"/>
      <c r="Y65" s="2"/>
    </row>
    <row r="66" spans="1:25" x14ac:dyDescent="0.25">
      <c r="A66" s="15">
        <v>41684</v>
      </c>
      <c r="B66" s="15">
        <v>41698</v>
      </c>
      <c r="C66" s="15">
        <v>41711</v>
      </c>
      <c r="D66" s="13">
        <f t="shared" si="0"/>
        <v>665984.59899999993</v>
      </c>
      <c r="E66" s="13">
        <v>104891.311</v>
      </c>
      <c r="F66" s="13">
        <v>81787.436000000002</v>
      </c>
      <c r="G66" s="13">
        <v>349668.4</v>
      </c>
      <c r="H66" s="13">
        <v>24758.272000000001</v>
      </c>
      <c r="I66" s="13">
        <v>16248.617</v>
      </c>
      <c r="J66" s="13">
        <v>10385.793</v>
      </c>
      <c r="K66" s="13">
        <v>60891.300999999999</v>
      </c>
      <c r="L66" s="13">
        <v>8752.39</v>
      </c>
      <c r="M66" s="13">
        <v>8601.0789999999997</v>
      </c>
      <c r="N66" s="4"/>
      <c r="O66" s="4"/>
      <c r="P66" s="4"/>
      <c r="W66" s="2"/>
      <c r="Y66" s="2"/>
    </row>
    <row r="67" spans="1:25" x14ac:dyDescent="0.25">
      <c r="A67" s="15">
        <v>41698</v>
      </c>
      <c r="B67" s="15">
        <v>41712</v>
      </c>
      <c r="C67" s="15">
        <v>41725</v>
      </c>
      <c r="D67" s="13">
        <f t="shared" ref="D67:D90" si="1">+SUM(E67:Q67)</f>
        <v>658681.18800000008</v>
      </c>
      <c r="E67" s="13">
        <v>101078.35799999999</v>
      </c>
      <c r="F67" s="13">
        <v>82825.115000000005</v>
      </c>
      <c r="G67" s="13">
        <v>347640.28700000001</v>
      </c>
      <c r="H67" s="13">
        <v>24158.716</v>
      </c>
      <c r="I67" s="13">
        <v>15796.353999999999</v>
      </c>
      <c r="J67" s="13">
        <v>9808.8080000000009</v>
      </c>
      <c r="K67" s="13">
        <v>59622.625999999997</v>
      </c>
      <c r="L67" s="13">
        <v>8800.8250000000007</v>
      </c>
      <c r="M67" s="13">
        <v>8950.0990000000002</v>
      </c>
      <c r="N67" s="4"/>
      <c r="O67" s="4"/>
      <c r="W67" s="2"/>
      <c r="Y67" s="2"/>
    </row>
    <row r="68" spans="1:25" x14ac:dyDescent="0.25">
      <c r="A68" s="15">
        <v>41712</v>
      </c>
      <c r="B68" s="15">
        <v>41726</v>
      </c>
      <c r="C68" s="15">
        <v>41739</v>
      </c>
      <c r="D68" s="13">
        <f t="shared" si="1"/>
        <v>668573.83699999994</v>
      </c>
      <c r="E68" s="13">
        <v>105920.361</v>
      </c>
      <c r="F68" s="13">
        <v>85443.650999999998</v>
      </c>
      <c r="G68" s="13">
        <v>349779.533</v>
      </c>
      <c r="H68" s="13">
        <v>23521.85</v>
      </c>
      <c r="I68" s="13">
        <v>15836.782999999999</v>
      </c>
      <c r="J68" s="13">
        <v>9557.3950000000004</v>
      </c>
      <c r="K68" s="13">
        <v>60831.338000000003</v>
      </c>
      <c r="L68" s="13">
        <v>8747.0640000000003</v>
      </c>
      <c r="M68" s="13">
        <v>8935.8619999999992</v>
      </c>
      <c r="N68" s="4"/>
      <c r="O68" s="4"/>
      <c r="W68" s="2"/>
      <c r="Y68" s="2"/>
    </row>
    <row r="69" spans="1:25" x14ac:dyDescent="0.25">
      <c r="A69" s="15">
        <v>41726</v>
      </c>
      <c r="B69" s="15">
        <v>41740</v>
      </c>
      <c r="C69" s="15">
        <v>41753</v>
      </c>
      <c r="D69" s="13">
        <f t="shared" si="1"/>
        <v>656861.14699999988</v>
      </c>
      <c r="E69" s="13">
        <v>101435.409</v>
      </c>
      <c r="F69" s="13">
        <v>76126.861000000004</v>
      </c>
      <c r="G69" s="13">
        <v>353182.217</v>
      </c>
      <c r="H69" s="13">
        <v>22641.685000000001</v>
      </c>
      <c r="I69" s="13">
        <v>16250.563</v>
      </c>
      <c r="J69" s="13">
        <v>9217.0830000000005</v>
      </c>
      <c r="K69" s="13">
        <v>59792.144</v>
      </c>
      <c r="L69" s="13">
        <v>9221.8130000000001</v>
      </c>
      <c r="M69" s="13">
        <v>8993.3719999999994</v>
      </c>
      <c r="N69" s="4"/>
      <c r="O69" s="4"/>
      <c r="W69" s="2"/>
      <c r="Y69" s="2"/>
    </row>
    <row r="70" spans="1:25" x14ac:dyDescent="0.25">
      <c r="A70" s="15">
        <v>41740</v>
      </c>
      <c r="B70" s="15">
        <v>41754</v>
      </c>
      <c r="C70" s="15">
        <v>41767</v>
      </c>
      <c r="D70" s="13">
        <f t="shared" si="1"/>
        <v>661267.17200000002</v>
      </c>
      <c r="E70" s="13">
        <v>102266.99400000001</v>
      </c>
      <c r="F70" s="13">
        <v>75613.724000000002</v>
      </c>
      <c r="G70" s="13">
        <v>356998.49200000003</v>
      </c>
      <c r="H70" s="13">
        <v>23036.554</v>
      </c>
      <c r="I70" s="13">
        <v>16164.689</v>
      </c>
      <c r="J70" s="13">
        <v>9102.2139999999999</v>
      </c>
      <c r="K70" s="13">
        <v>59689.165999999997</v>
      </c>
      <c r="L70" s="13">
        <v>9341.1620000000003</v>
      </c>
      <c r="M70" s="13">
        <v>9054.1769999999997</v>
      </c>
      <c r="N70" s="4"/>
      <c r="O70" s="4"/>
      <c r="W70" s="2"/>
      <c r="Y70" s="2"/>
    </row>
    <row r="71" spans="1:25" x14ac:dyDescent="0.25">
      <c r="A71" s="15">
        <v>41754</v>
      </c>
      <c r="B71" s="15">
        <v>41768</v>
      </c>
      <c r="C71" s="15">
        <v>41781</v>
      </c>
      <c r="D71" s="13">
        <f t="shared" si="1"/>
        <v>660484.14400000009</v>
      </c>
      <c r="E71" s="13">
        <v>101585.16800000001</v>
      </c>
      <c r="F71" s="13">
        <v>79365.270999999993</v>
      </c>
      <c r="G71" s="13">
        <v>351344.54700000002</v>
      </c>
      <c r="H71" s="13">
        <v>24112.04</v>
      </c>
      <c r="I71" s="13">
        <v>16413.817999999999</v>
      </c>
      <c r="J71" s="13">
        <v>9025.7749999999996</v>
      </c>
      <c r="K71" s="13">
        <v>60173.159</v>
      </c>
      <c r="L71" s="13">
        <v>9351.6640000000007</v>
      </c>
      <c r="M71" s="13">
        <v>9112.7019999999993</v>
      </c>
      <c r="N71" s="4"/>
      <c r="O71" s="4"/>
      <c r="W71" s="2"/>
      <c r="Y71" s="2"/>
    </row>
    <row r="72" spans="1:25" x14ac:dyDescent="0.25">
      <c r="A72" s="15">
        <v>41768</v>
      </c>
      <c r="B72" s="15">
        <v>41782</v>
      </c>
      <c r="C72" s="15">
        <v>41795</v>
      </c>
      <c r="D72" s="13">
        <f t="shared" si="1"/>
        <v>660617.72600000026</v>
      </c>
      <c r="E72" s="13">
        <v>94721.027000000002</v>
      </c>
      <c r="F72" s="13">
        <v>82798.846000000005</v>
      </c>
      <c r="G72" s="13">
        <v>351359.83199999999</v>
      </c>
      <c r="H72" s="13">
        <v>25529.481</v>
      </c>
      <c r="I72" s="13">
        <v>16997.407999999999</v>
      </c>
      <c r="J72" s="13">
        <v>9257.9959999999992</v>
      </c>
      <c r="K72" s="13">
        <v>61755.578999999998</v>
      </c>
      <c r="L72" s="13">
        <v>8980.5229999999992</v>
      </c>
      <c r="M72" s="13">
        <v>9217.0339999999997</v>
      </c>
      <c r="N72" s="4"/>
      <c r="O72" s="4"/>
      <c r="W72" s="2"/>
      <c r="Y72" s="2"/>
    </row>
    <row r="73" spans="1:25" x14ac:dyDescent="0.25">
      <c r="A73" s="15">
        <v>41782</v>
      </c>
      <c r="B73" s="15">
        <v>41796</v>
      </c>
      <c r="C73" s="15">
        <v>41809</v>
      </c>
      <c r="D73" s="13">
        <f t="shared" si="1"/>
        <v>662613.69100000011</v>
      </c>
      <c r="E73" s="13">
        <v>101041.677</v>
      </c>
      <c r="F73" s="13">
        <v>79411.097999999998</v>
      </c>
      <c r="G73" s="13">
        <v>348155.35499999998</v>
      </c>
      <c r="H73" s="13">
        <v>26316.059000000001</v>
      </c>
      <c r="I73" s="13">
        <v>17217.77</v>
      </c>
      <c r="J73" s="13">
        <v>9423.2090000000007</v>
      </c>
      <c r="K73" s="13">
        <v>62352.383999999998</v>
      </c>
      <c r="L73" s="13">
        <v>9454.8979999999992</v>
      </c>
      <c r="M73" s="13">
        <v>9241.241</v>
      </c>
      <c r="N73" s="4"/>
      <c r="O73" s="4"/>
      <c r="W73" s="2"/>
      <c r="Y73" s="2"/>
    </row>
    <row r="74" spans="1:25" x14ac:dyDescent="0.25">
      <c r="A74" s="15">
        <v>41796</v>
      </c>
      <c r="B74" s="15">
        <v>41810</v>
      </c>
      <c r="C74" s="15">
        <v>41823</v>
      </c>
      <c r="D74" s="13">
        <f t="shared" si="1"/>
        <v>664796.20599999977</v>
      </c>
      <c r="E74" s="13">
        <v>96379.448000000004</v>
      </c>
      <c r="F74" s="13">
        <v>84163.849000000002</v>
      </c>
      <c r="G74" s="13">
        <v>349800.29800000001</v>
      </c>
      <c r="H74" s="13">
        <v>27884.33</v>
      </c>
      <c r="I74" s="13">
        <v>17549.778999999999</v>
      </c>
      <c r="J74" s="13">
        <v>9563.7939999999999</v>
      </c>
      <c r="K74" s="13">
        <v>60889.553</v>
      </c>
      <c r="L74" s="13">
        <v>9308.4670000000006</v>
      </c>
      <c r="M74" s="13">
        <v>9256.6880000000001</v>
      </c>
      <c r="N74" s="4"/>
      <c r="O74" s="4"/>
      <c r="W74" s="2"/>
      <c r="Y74" s="2"/>
    </row>
    <row r="75" spans="1:25" x14ac:dyDescent="0.25">
      <c r="A75" s="15">
        <v>41810</v>
      </c>
      <c r="B75" s="15">
        <v>41824</v>
      </c>
      <c r="C75" s="15">
        <v>41837</v>
      </c>
      <c r="D75" s="13">
        <f t="shared" si="1"/>
        <v>679854.31799999997</v>
      </c>
      <c r="E75" s="13">
        <v>104307.58</v>
      </c>
      <c r="F75" s="13">
        <v>82806.294999999998</v>
      </c>
      <c r="G75" s="13">
        <v>353329.21399999998</v>
      </c>
      <c r="H75" s="13">
        <v>30053.846000000001</v>
      </c>
      <c r="I75" s="13">
        <v>18345.355</v>
      </c>
      <c r="J75" s="13">
        <v>9657.0490000000009</v>
      </c>
      <c r="K75" s="13">
        <v>62354.616000000002</v>
      </c>
      <c r="L75" s="13">
        <v>9553.5529999999999</v>
      </c>
      <c r="M75" s="13">
        <v>9446.81</v>
      </c>
      <c r="N75" s="4"/>
      <c r="O75" s="4"/>
      <c r="W75" s="2"/>
      <c r="Y75" s="2"/>
    </row>
    <row r="76" spans="1:25" x14ac:dyDescent="0.25">
      <c r="A76" s="15">
        <v>41824</v>
      </c>
      <c r="B76" s="15">
        <v>41838</v>
      </c>
      <c r="C76" s="15">
        <v>41851</v>
      </c>
      <c r="D76" s="13">
        <f t="shared" si="1"/>
        <v>690356.66000000015</v>
      </c>
      <c r="E76" s="13">
        <v>102144.481</v>
      </c>
      <c r="F76" s="13">
        <v>87991.703999999998</v>
      </c>
      <c r="G76" s="13">
        <v>357443.35100000002</v>
      </c>
      <c r="H76" s="13">
        <v>32604.861000000001</v>
      </c>
      <c r="I76" s="13">
        <v>18213.455999999998</v>
      </c>
      <c r="J76" s="13">
        <v>9532.0959999999995</v>
      </c>
      <c r="K76" s="13">
        <v>63098.362999999998</v>
      </c>
      <c r="L76" s="13">
        <v>9895.5139999999992</v>
      </c>
      <c r="M76" s="13">
        <v>9432.8340000000007</v>
      </c>
      <c r="N76" s="4"/>
      <c r="O76" s="4"/>
      <c r="W76" s="2"/>
      <c r="Y76" s="2"/>
    </row>
    <row r="77" spans="1:25" x14ac:dyDescent="0.25">
      <c r="A77" s="15">
        <v>41838</v>
      </c>
      <c r="B77" s="15">
        <v>41852</v>
      </c>
      <c r="C77" s="15">
        <v>41865</v>
      </c>
      <c r="D77" s="13">
        <f t="shared" si="1"/>
        <v>695992.41799999995</v>
      </c>
      <c r="E77" s="13">
        <v>109562.817</v>
      </c>
      <c r="F77" s="13">
        <v>88899.876000000004</v>
      </c>
      <c r="G77" s="13">
        <v>355358.89899999998</v>
      </c>
      <c r="H77" s="13">
        <v>32893.817000000003</v>
      </c>
      <c r="I77" s="13">
        <v>18317.064999999999</v>
      </c>
      <c r="J77" s="13">
        <v>9528.6650000000009</v>
      </c>
      <c r="K77" s="13">
        <v>61727.885000000002</v>
      </c>
      <c r="L77" s="13">
        <v>10070.977000000001</v>
      </c>
      <c r="M77" s="13">
        <v>9632.4169999999995</v>
      </c>
      <c r="N77" s="4"/>
      <c r="O77" s="4"/>
      <c r="W77" s="2"/>
      <c r="Y77" s="2"/>
    </row>
    <row r="78" spans="1:25" x14ac:dyDescent="0.25">
      <c r="A78" s="15">
        <v>41852</v>
      </c>
      <c r="B78" s="15">
        <v>41866</v>
      </c>
      <c r="C78" s="15">
        <v>41879</v>
      </c>
      <c r="D78" s="13">
        <f t="shared" si="1"/>
        <v>711204.74600000004</v>
      </c>
      <c r="E78" s="13">
        <v>122495.011</v>
      </c>
      <c r="F78" s="13">
        <v>91420.72</v>
      </c>
      <c r="G78" s="13">
        <v>355787.76400000002</v>
      </c>
      <c r="H78" s="13">
        <v>32755.506000000001</v>
      </c>
      <c r="I78" s="13">
        <v>18531.39</v>
      </c>
      <c r="J78" s="13">
        <v>9490.64</v>
      </c>
      <c r="K78" s="13">
        <v>60818.173000000003</v>
      </c>
      <c r="L78" s="13">
        <v>10241.319</v>
      </c>
      <c r="M78" s="13">
        <v>9664.223</v>
      </c>
      <c r="N78" s="4"/>
      <c r="O78" s="4"/>
      <c r="W78" s="2"/>
      <c r="Y78" s="2"/>
    </row>
    <row r="79" spans="1:25" x14ac:dyDescent="0.25">
      <c r="A79" s="15">
        <v>41866</v>
      </c>
      <c r="B79" s="15">
        <v>41880</v>
      </c>
      <c r="C79" s="15">
        <v>41893</v>
      </c>
      <c r="D79" s="13">
        <f t="shared" si="1"/>
        <v>699096.51000000013</v>
      </c>
      <c r="E79" s="13">
        <v>115958.20299999999</v>
      </c>
      <c r="F79" s="13">
        <v>90360.578999999998</v>
      </c>
      <c r="G79" s="13">
        <v>351992.23300000001</v>
      </c>
      <c r="H79" s="13">
        <v>31984.907999999999</v>
      </c>
      <c r="I79" s="13">
        <v>19283.5</v>
      </c>
      <c r="J79" s="13">
        <v>9412.375</v>
      </c>
      <c r="K79" s="13">
        <v>60171.64</v>
      </c>
      <c r="L79" s="13">
        <v>10285.603999999999</v>
      </c>
      <c r="M79" s="13">
        <v>9647.4680000000008</v>
      </c>
      <c r="N79" s="4"/>
      <c r="O79" s="4"/>
      <c r="W79" s="2"/>
      <c r="Y79" s="2"/>
    </row>
    <row r="80" spans="1:25" x14ac:dyDescent="0.25">
      <c r="A80" s="15">
        <v>41880</v>
      </c>
      <c r="B80" s="15">
        <v>41894</v>
      </c>
      <c r="C80" s="15">
        <v>41907</v>
      </c>
      <c r="D80" s="13">
        <f t="shared" si="1"/>
        <v>693543.12300000002</v>
      </c>
      <c r="E80" s="13">
        <v>110493.355</v>
      </c>
      <c r="F80" s="13">
        <v>87109.501999999993</v>
      </c>
      <c r="G80" s="13">
        <v>352208.87099999998</v>
      </c>
      <c r="H80" s="13">
        <v>32531.888999999999</v>
      </c>
      <c r="I80" s="13">
        <v>19403.272000000001</v>
      </c>
      <c r="J80" s="13">
        <v>9382.598</v>
      </c>
      <c r="K80" s="13">
        <v>62138.752999999997</v>
      </c>
      <c r="L80" s="13">
        <v>10611.304</v>
      </c>
      <c r="M80" s="13">
        <v>9663.5789999999997</v>
      </c>
      <c r="N80" s="4"/>
      <c r="O80" s="4"/>
      <c r="W80" s="2"/>
      <c r="Y80" s="2"/>
    </row>
    <row r="81" spans="1:25" x14ac:dyDescent="0.25">
      <c r="A81" s="15">
        <v>41894</v>
      </c>
      <c r="B81" s="15">
        <v>41908</v>
      </c>
      <c r="C81" s="15">
        <v>41921</v>
      </c>
      <c r="D81" s="13">
        <f t="shared" si="1"/>
        <v>707739.18</v>
      </c>
      <c r="E81" s="13">
        <v>113626.173</v>
      </c>
      <c r="F81" s="13">
        <v>93626.161999999997</v>
      </c>
      <c r="G81" s="13">
        <v>357008.80900000001</v>
      </c>
      <c r="H81" s="13">
        <v>31619.593000000001</v>
      </c>
      <c r="I81" s="13">
        <v>19098.559000000001</v>
      </c>
      <c r="J81" s="13">
        <v>9545.1149999999998</v>
      </c>
      <c r="K81" s="13">
        <v>62298.646999999997</v>
      </c>
      <c r="L81" s="13">
        <v>11259.251</v>
      </c>
      <c r="M81" s="13">
        <v>9656.8709999999992</v>
      </c>
      <c r="N81" s="4"/>
      <c r="O81" s="4"/>
      <c r="W81" s="2"/>
      <c r="Y81" s="2"/>
    </row>
    <row r="82" spans="1:25" x14ac:dyDescent="0.25">
      <c r="A82" s="15">
        <v>41908</v>
      </c>
      <c r="B82" s="15">
        <v>41922</v>
      </c>
      <c r="C82" s="15">
        <v>41935</v>
      </c>
      <c r="D82" s="13">
        <f t="shared" si="1"/>
        <v>718703.95299999998</v>
      </c>
      <c r="E82" s="13">
        <v>120921.367</v>
      </c>
      <c r="F82" s="13">
        <v>95200.517999999996</v>
      </c>
      <c r="G82" s="13">
        <v>359935.78200000001</v>
      </c>
      <c r="H82" s="13">
        <v>30140.959999999999</v>
      </c>
      <c r="I82" s="13">
        <v>18300.638999999999</v>
      </c>
      <c r="J82" s="13">
        <v>9519.3439999999991</v>
      </c>
      <c r="K82" s="13">
        <v>63751.728999999999</v>
      </c>
      <c r="L82" s="13">
        <v>11279.94</v>
      </c>
      <c r="M82" s="13">
        <v>9653.6740000000009</v>
      </c>
      <c r="N82" s="4"/>
      <c r="O82" s="4"/>
      <c r="W82" s="2"/>
      <c r="Y82" s="2"/>
    </row>
    <row r="83" spans="1:25" x14ac:dyDescent="0.25">
      <c r="A83" s="15">
        <v>41922</v>
      </c>
      <c r="B83" s="15">
        <v>41936</v>
      </c>
      <c r="C83" s="15">
        <v>41949</v>
      </c>
      <c r="D83" s="13">
        <f t="shared" si="1"/>
        <v>710299.451</v>
      </c>
      <c r="E83" s="13">
        <v>108008.03</v>
      </c>
      <c r="F83" s="13">
        <v>95863.332999999999</v>
      </c>
      <c r="G83" s="13">
        <v>364298.32299999997</v>
      </c>
      <c r="H83" s="13">
        <v>29151.606</v>
      </c>
      <c r="I83" s="13">
        <v>18199.683000000001</v>
      </c>
      <c r="J83" s="13">
        <v>9494.857</v>
      </c>
      <c r="K83" s="13">
        <v>64170.476000000002</v>
      </c>
      <c r="L83" s="13">
        <v>11566.045</v>
      </c>
      <c r="M83" s="13">
        <v>9547.098</v>
      </c>
      <c r="N83" s="4"/>
      <c r="O83" s="4"/>
      <c r="W83" s="2"/>
      <c r="Y83" s="2"/>
    </row>
    <row r="84" spans="1:25" x14ac:dyDescent="0.25">
      <c r="A84" s="15">
        <v>41936</v>
      </c>
      <c r="B84" s="15">
        <v>41950</v>
      </c>
      <c r="C84" s="15">
        <v>41963</v>
      </c>
      <c r="D84" s="13">
        <f t="shared" si="1"/>
        <v>705294.03700000001</v>
      </c>
      <c r="E84" s="13">
        <v>110795.986</v>
      </c>
      <c r="F84" s="13">
        <v>86350.941000000006</v>
      </c>
      <c r="G84" s="13">
        <v>363997.49900000001</v>
      </c>
      <c r="H84" s="13">
        <v>29613.239000000001</v>
      </c>
      <c r="I84" s="13">
        <v>18233.36</v>
      </c>
      <c r="J84" s="13">
        <v>9529.009</v>
      </c>
      <c r="K84" s="13">
        <v>65171.953999999998</v>
      </c>
      <c r="L84" s="13">
        <v>12049.322</v>
      </c>
      <c r="M84" s="13">
        <v>9552.7270000000008</v>
      </c>
      <c r="N84" s="4"/>
      <c r="O84" s="4"/>
      <c r="W84" s="2"/>
      <c r="Y84" s="2"/>
    </row>
    <row r="85" spans="1:25" x14ac:dyDescent="0.25">
      <c r="A85" s="15">
        <v>41950</v>
      </c>
      <c r="B85" s="15">
        <v>41964</v>
      </c>
      <c r="C85" s="15">
        <v>41977</v>
      </c>
      <c r="D85" s="13">
        <f t="shared" si="1"/>
        <v>701442.43500000006</v>
      </c>
      <c r="E85" s="13">
        <v>101632.098</v>
      </c>
      <c r="F85" s="13">
        <v>94466.04</v>
      </c>
      <c r="G85" s="13">
        <v>360543.522</v>
      </c>
      <c r="H85" s="13">
        <v>28745.312000000002</v>
      </c>
      <c r="I85" s="13">
        <v>18696.026999999998</v>
      </c>
      <c r="J85" s="13">
        <v>9495.518</v>
      </c>
      <c r="K85" s="13">
        <v>65991.944000000003</v>
      </c>
      <c r="L85" s="13">
        <v>12324.069</v>
      </c>
      <c r="M85" s="13">
        <v>9547.9050000000007</v>
      </c>
      <c r="N85" s="4"/>
      <c r="O85" s="4"/>
      <c r="W85" s="2"/>
      <c r="Y85" s="2"/>
    </row>
    <row r="86" spans="1:25" x14ac:dyDescent="0.25">
      <c r="A86" s="15">
        <v>41964</v>
      </c>
      <c r="B86" s="15">
        <v>41978</v>
      </c>
      <c r="C86" s="15">
        <v>41991</v>
      </c>
      <c r="D86" s="13">
        <f t="shared" si="1"/>
        <v>704429.97</v>
      </c>
      <c r="E86" s="13">
        <v>107583.482</v>
      </c>
      <c r="F86" s="13">
        <v>93587.803</v>
      </c>
      <c r="G86" s="13">
        <v>359352.67099999997</v>
      </c>
      <c r="H86" s="13">
        <v>28959.363000000001</v>
      </c>
      <c r="I86" s="13">
        <v>17939.440999999999</v>
      </c>
      <c r="J86" s="13">
        <v>9501.9920000000002</v>
      </c>
      <c r="K86" s="13">
        <v>65667.978000000003</v>
      </c>
      <c r="L86" s="13">
        <v>12252.152</v>
      </c>
      <c r="M86" s="13">
        <v>9585.0879999999997</v>
      </c>
      <c r="N86" s="4"/>
      <c r="O86" s="4"/>
      <c r="W86" s="2"/>
      <c r="Y86" s="2"/>
    </row>
    <row r="87" spans="1:25" x14ac:dyDescent="0.25">
      <c r="A87" s="15">
        <v>41978</v>
      </c>
      <c r="B87" s="15">
        <v>41992</v>
      </c>
      <c r="C87" s="15">
        <v>42005</v>
      </c>
      <c r="D87" s="13">
        <f t="shared" si="1"/>
        <v>720269.97400000005</v>
      </c>
      <c r="E87" s="13">
        <v>104414.06</v>
      </c>
      <c r="F87" s="13">
        <v>97308.054999999993</v>
      </c>
      <c r="G87" s="13">
        <v>371620.45400000003</v>
      </c>
      <c r="H87" s="13">
        <v>29574.856</v>
      </c>
      <c r="I87" s="13">
        <v>18047.403999999999</v>
      </c>
      <c r="J87" s="13">
        <v>9721.4779999999992</v>
      </c>
      <c r="K87" s="13">
        <v>67024.331000000006</v>
      </c>
      <c r="L87" s="13">
        <v>12588.23</v>
      </c>
      <c r="M87" s="13">
        <v>9971.1059999999998</v>
      </c>
      <c r="N87" s="4"/>
      <c r="O87" s="4"/>
      <c r="W87" s="2"/>
      <c r="Y87" s="2"/>
    </row>
    <row r="88" spans="1:25" x14ac:dyDescent="0.25">
      <c r="A88" s="15">
        <v>41992</v>
      </c>
      <c r="B88" s="15">
        <v>42006</v>
      </c>
      <c r="C88" s="15">
        <v>42019</v>
      </c>
      <c r="D88" s="13">
        <f t="shared" si="1"/>
        <v>745218.22499999998</v>
      </c>
      <c r="E88" s="13">
        <v>117820.48299999999</v>
      </c>
      <c r="F88" s="13">
        <v>98881.755000000005</v>
      </c>
      <c r="G88" s="13">
        <v>380842.06699999998</v>
      </c>
      <c r="H88" s="13">
        <v>28779.986000000001</v>
      </c>
      <c r="I88" s="13">
        <v>18757.685000000001</v>
      </c>
      <c r="J88" s="13">
        <v>9814.99</v>
      </c>
      <c r="K88" s="13">
        <v>67545.634000000005</v>
      </c>
      <c r="L88" s="13">
        <v>12724.648999999999</v>
      </c>
      <c r="M88" s="13">
        <v>10050.976000000001</v>
      </c>
      <c r="N88" s="4"/>
      <c r="O88" s="4"/>
      <c r="W88" s="2"/>
      <c r="Y88" s="2"/>
    </row>
    <row r="89" spans="1:25" x14ac:dyDescent="0.25">
      <c r="A89" s="15">
        <v>42006</v>
      </c>
      <c r="B89" s="15">
        <v>42020</v>
      </c>
      <c r="C89" s="15">
        <v>42033</v>
      </c>
      <c r="D89" s="13">
        <f t="shared" si="1"/>
        <v>751126.33299999975</v>
      </c>
      <c r="E89" s="13">
        <v>115888.30100000001</v>
      </c>
      <c r="F89" s="13">
        <v>101195.323</v>
      </c>
      <c r="G89" s="13">
        <v>386883.26899999997</v>
      </c>
      <c r="H89" s="13">
        <v>28560.578000000001</v>
      </c>
      <c r="I89" s="13">
        <v>18437.024000000001</v>
      </c>
      <c r="J89" s="13">
        <v>9982.1219999999994</v>
      </c>
      <c r="K89" s="13">
        <v>66892.62</v>
      </c>
      <c r="L89" s="13">
        <v>13168.168</v>
      </c>
      <c r="M89" s="13">
        <v>10118.928</v>
      </c>
      <c r="N89" s="4"/>
      <c r="O89" s="4"/>
      <c r="W89" s="2"/>
      <c r="Y89" s="2"/>
    </row>
    <row r="90" spans="1:25" x14ac:dyDescent="0.25">
      <c r="A90" s="15">
        <v>42020</v>
      </c>
      <c r="B90" s="15">
        <v>42034</v>
      </c>
      <c r="C90" s="15">
        <v>42047</v>
      </c>
      <c r="D90" s="13">
        <f t="shared" si="1"/>
        <v>754610.09200000006</v>
      </c>
      <c r="E90" s="13">
        <v>119840.011</v>
      </c>
      <c r="F90" s="13">
        <v>101152.872</v>
      </c>
      <c r="G90" s="13">
        <v>385158.96600000001</v>
      </c>
      <c r="H90" s="13">
        <v>28903.758999999998</v>
      </c>
      <c r="I90" s="13">
        <v>18648.767</v>
      </c>
      <c r="J90" s="13">
        <v>10232.668</v>
      </c>
      <c r="K90" s="13">
        <v>67789.27</v>
      </c>
      <c r="L90" s="13">
        <v>12920.697</v>
      </c>
      <c r="M90" s="13">
        <v>9963.0820000000003</v>
      </c>
      <c r="N90" s="4"/>
      <c r="O90" s="4"/>
      <c r="W90" s="2"/>
      <c r="Y90" s="2"/>
    </row>
    <row r="91" spans="1:25" x14ac:dyDescent="0.25">
      <c r="A91" s="17">
        <v>42034</v>
      </c>
      <c r="B91" s="17">
        <v>42048</v>
      </c>
      <c r="C91" s="17">
        <v>42061</v>
      </c>
      <c r="D91" s="18">
        <f t="shared" ref="D91" si="2">+SUM(E91:Q91)</f>
        <v>756380.93700000003</v>
      </c>
      <c r="E91" s="18">
        <v>116305.565</v>
      </c>
      <c r="F91" s="18">
        <v>103293.348</v>
      </c>
      <c r="G91" s="18">
        <v>385727.66</v>
      </c>
      <c r="H91" s="18">
        <v>28365.091</v>
      </c>
      <c r="I91" s="18">
        <v>19250.481</v>
      </c>
      <c r="J91" s="18">
        <v>10301.132</v>
      </c>
      <c r="K91" s="18">
        <v>69724.432000000001</v>
      </c>
      <c r="L91" s="18">
        <v>13214.039000000001</v>
      </c>
      <c r="M91" s="18">
        <v>10199.189</v>
      </c>
      <c r="N91" s="4"/>
      <c r="O91" s="4"/>
      <c r="W91" s="2"/>
      <c r="Y91" s="2"/>
    </row>
    <row r="92" spans="1:25" x14ac:dyDescent="0.25">
      <c r="A92" s="5"/>
      <c r="B92" s="5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4"/>
      <c r="O92" s="4"/>
      <c r="W92" s="2"/>
      <c r="Y92" s="2"/>
    </row>
    <row r="93" spans="1:25" s="2" customFormat="1" ht="60" x14ac:dyDescent="0.25">
      <c r="A93" s="34" t="s">
        <v>9</v>
      </c>
      <c r="B93" s="35" t="s">
        <v>40</v>
      </c>
      <c r="C93" s="35" t="s">
        <v>41</v>
      </c>
      <c r="D93" s="36" t="s">
        <v>6</v>
      </c>
      <c r="E93" s="36" t="s">
        <v>0</v>
      </c>
      <c r="F93" s="36" t="s">
        <v>2</v>
      </c>
      <c r="G93" s="36" t="s">
        <v>3</v>
      </c>
      <c r="H93" s="36" t="s">
        <v>4</v>
      </c>
      <c r="I93" s="36" t="s">
        <v>1</v>
      </c>
      <c r="J93" s="36" t="s">
        <v>5</v>
      </c>
      <c r="K93" s="36" t="s">
        <v>7</v>
      </c>
      <c r="L93" s="36" t="s">
        <v>28</v>
      </c>
      <c r="M93" s="36" t="s">
        <v>8</v>
      </c>
      <c r="N93" s="36" t="s">
        <v>11</v>
      </c>
      <c r="O93" s="37" t="s">
        <v>12</v>
      </c>
    </row>
    <row r="94" spans="1:25" x14ac:dyDescent="0.25">
      <c r="A94" s="16">
        <v>42048</v>
      </c>
      <c r="B94" s="15">
        <v>42062</v>
      </c>
      <c r="C94" s="15">
        <v>42075</v>
      </c>
      <c r="D94" s="12">
        <f t="shared" ref="D94:D118" si="3">+SUM(E94:Q94)</f>
        <v>766683.0560000001</v>
      </c>
      <c r="E94" s="12">
        <v>119794.455</v>
      </c>
      <c r="F94" s="12">
        <v>110949.644</v>
      </c>
      <c r="G94" s="12">
        <v>388186.77500000002</v>
      </c>
      <c r="H94" s="12">
        <v>29012.698</v>
      </c>
      <c r="I94" s="12">
        <v>18020.251</v>
      </c>
      <c r="J94" s="12">
        <v>10132.540000000001</v>
      </c>
      <c r="K94" s="12">
        <v>67711.566999999995</v>
      </c>
      <c r="L94" s="12">
        <v>10115.894</v>
      </c>
      <c r="M94" s="12">
        <v>2770.8130000000001</v>
      </c>
      <c r="N94" s="12">
        <v>5098.2910000000002</v>
      </c>
      <c r="O94" s="12">
        <v>4890.1279999999997</v>
      </c>
      <c r="W94" s="2"/>
      <c r="Y94" s="2"/>
    </row>
    <row r="95" spans="1:25" x14ac:dyDescent="0.25">
      <c r="A95" s="15">
        <v>42062</v>
      </c>
      <c r="B95" s="15">
        <v>42076</v>
      </c>
      <c r="C95" s="15">
        <v>42089</v>
      </c>
      <c r="D95" s="13">
        <f t="shared" si="3"/>
        <v>763056.16800000006</v>
      </c>
      <c r="E95" s="13">
        <v>128700.643</v>
      </c>
      <c r="F95" s="13">
        <v>102557.257</v>
      </c>
      <c r="G95" s="13">
        <v>384481.99200000003</v>
      </c>
      <c r="H95" s="13">
        <v>26742.044999999998</v>
      </c>
      <c r="I95" s="13">
        <v>22482.877</v>
      </c>
      <c r="J95" s="13">
        <v>10041.253000000001</v>
      </c>
      <c r="K95" s="13">
        <v>65163.082999999999</v>
      </c>
      <c r="L95" s="13">
        <v>10114.947</v>
      </c>
      <c r="M95" s="13">
        <v>2770.8130000000001</v>
      </c>
      <c r="N95" s="13">
        <v>5121.3379999999997</v>
      </c>
      <c r="O95" s="13">
        <v>4879.92</v>
      </c>
      <c r="W95" s="2"/>
      <c r="Y95" s="2"/>
    </row>
    <row r="96" spans="1:25" x14ac:dyDescent="0.25">
      <c r="A96" s="15">
        <v>42076</v>
      </c>
      <c r="B96" s="15">
        <v>42090</v>
      </c>
      <c r="C96" s="15">
        <v>42103</v>
      </c>
      <c r="D96" s="13">
        <f t="shared" si="3"/>
        <v>766332.78599999996</v>
      </c>
      <c r="E96" s="13">
        <v>123712.598</v>
      </c>
      <c r="F96" s="13">
        <v>109174.655</v>
      </c>
      <c r="G96" s="13">
        <v>385904.35700000002</v>
      </c>
      <c r="H96" s="13">
        <v>24947.657999999999</v>
      </c>
      <c r="I96" s="13">
        <v>22442.118999999999</v>
      </c>
      <c r="J96" s="13">
        <v>10201.15</v>
      </c>
      <c r="K96" s="13">
        <v>67445.349000000002</v>
      </c>
      <c r="L96" s="13">
        <v>9721.7990000000009</v>
      </c>
      <c r="M96" s="13">
        <v>2820.8130000000001</v>
      </c>
      <c r="N96" s="13">
        <v>5125.5339999999997</v>
      </c>
      <c r="O96" s="13">
        <v>4836.7539999999999</v>
      </c>
      <c r="W96" s="2"/>
      <c r="Y96" s="2"/>
    </row>
    <row r="97" spans="1:25" x14ac:dyDescent="0.25">
      <c r="A97" s="15">
        <v>42090</v>
      </c>
      <c r="B97" s="15">
        <v>42104</v>
      </c>
      <c r="C97" s="15">
        <v>42117</v>
      </c>
      <c r="D97" s="13">
        <f t="shared" si="3"/>
        <v>764003.2379999999</v>
      </c>
      <c r="E97" s="13">
        <v>123418.397</v>
      </c>
      <c r="F97" s="13">
        <v>106071.848</v>
      </c>
      <c r="G97" s="13">
        <v>388630.12</v>
      </c>
      <c r="H97" s="13">
        <v>22482.449000000001</v>
      </c>
      <c r="I97" s="13">
        <v>22140.013999999999</v>
      </c>
      <c r="J97" s="13">
        <v>10202.725</v>
      </c>
      <c r="K97" s="13">
        <v>68609.964000000007</v>
      </c>
      <c r="L97" s="13">
        <v>9746.6080000000002</v>
      </c>
      <c r="M97" s="13">
        <v>2753.7689999999998</v>
      </c>
      <c r="N97" s="13">
        <v>5145.7879999999996</v>
      </c>
      <c r="O97" s="13">
        <v>4801.5559999999996</v>
      </c>
      <c r="W97" s="2"/>
      <c r="Y97" s="2"/>
    </row>
    <row r="98" spans="1:25" x14ac:dyDescent="0.25">
      <c r="A98" s="15">
        <v>42104</v>
      </c>
      <c r="B98" s="15">
        <v>42118</v>
      </c>
      <c r="C98" s="15">
        <v>42131</v>
      </c>
      <c r="D98" s="13">
        <f t="shared" si="3"/>
        <v>766695.5140000002</v>
      </c>
      <c r="E98" s="13">
        <v>119813.00199999999</v>
      </c>
      <c r="F98" s="13">
        <v>103397.462</v>
      </c>
      <c r="G98" s="13">
        <v>397409.75199999998</v>
      </c>
      <c r="H98" s="13">
        <v>20509.312999999998</v>
      </c>
      <c r="I98" s="13">
        <v>22508.773000000001</v>
      </c>
      <c r="J98" s="13">
        <v>10243.98</v>
      </c>
      <c r="K98" s="13">
        <v>70904.494000000006</v>
      </c>
      <c r="L98" s="13">
        <v>9557.3040000000001</v>
      </c>
      <c r="M98" s="13">
        <v>2847.9960000000001</v>
      </c>
      <c r="N98" s="13">
        <v>4856.2849999999999</v>
      </c>
      <c r="O98" s="13">
        <v>4647.1530000000002</v>
      </c>
      <c r="W98" s="2"/>
      <c r="Y98" s="2"/>
    </row>
    <row r="99" spans="1:25" x14ac:dyDescent="0.25">
      <c r="A99" s="15">
        <v>42118</v>
      </c>
      <c r="B99" s="15">
        <v>42132</v>
      </c>
      <c r="C99" s="15">
        <v>42145</v>
      </c>
      <c r="D99" s="13">
        <f t="shared" si="3"/>
        <v>768955.23699999985</v>
      </c>
      <c r="E99" s="13">
        <v>125026.113</v>
      </c>
      <c r="F99" s="13">
        <v>103361.16099999999</v>
      </c>
      <c r="G99" s="13">
        <v>398781.95199999999</v>
      </c>
      <c r="H99" s="13">
        <v>19483.668000000001</v>
      </c>
      <c r="I99" s="13">
        <v>22210.437999999998</v>
      </c>
      <c r="J99" s="13">
        <v>10197.677</v>
      </c>
      <c r="K99" s="13">
        <v>67968.176000000007</v>
      </c>
      <c r="L99" s="13">
        <v>9632.3469999999998</v>
      </c>
      <c r="M99" s="13">
        <v>2847.413</v>
      </c>
      <c r="N99" s="13">
        <v>4888.6909999999998</v>
      </c>
      <c r="O99" s="13">
        <v>4557.6009999999997</v>
      </c>
      <c r="W99" s="2"/>
      <c r="Y99" s="2"/>
    </row>
    <row r="100" spans="1:25" x14ac:dyDescent="0.25">
      <c r="A100" s="15">
        <v>42132</v>
      </c>
      <c r="B100" s="15">
        <v>42146</v>
      </c>
      <c r="C100" s="15">
        <v>42159</v>
      </c>
      <c r="D100" s="13">
        <f t="shared" si="3"/>
        <v>762181.50299999991</v>
      </c>
      <c r="E100" s="13">
        <v>119606.641</v>
      </c>
      <c r="F100" s="13">
        <v>108129.193</v>
      </c>
      <c r="G100" s="13">
        <v>394195.69099999999</v>
      </c>
      <c r="H100" s="13">
        <v>19700.214</v>
      </c>
      <c r="I100" s="13">
        <v>20594.741999999998</v>
      </c>
      <c r="J100" s="13">
        <v>10080.764000000001</v>
      </c>
      <c r="K100" s="13">
        <v>68343.346999999994</v>
      </c>
      <c r="L100" s="13">
        <v>9656.107</v>
      </c>
      <c r="M100" s="13">
        <v>2987.37</v>
      </c>
      <c r="N100" s="13">
        <v>4333.7749999999996</v>
      </c>
      <c r="O100" s="13">
        <v>4553.6589999999997</v>
      </c>
      <c r="W100" s="2"/>
    </row>
    <row r="101" spans="1:25" x14ac:dyDescent="0.25">
      <c r="A101" s="15">
        <v>42146</v>
      </c>
      <c r="B101" s="15">
        <v>42160</v>
      </c>
      <c r="C101" s="15">
        <v>42173</v>
      </c>
      <c r="D101" s="13">
        <f t="shared" si="3"/>
        <v>751406.70499999996</v>
      </c>
      <c r="E101" s="13">
        <v>120610.34299999999</v>
      </c>
      <c r="F101" s="13">
        <v>101015.35800000001</v>
      </c>
      <c r="G101" s="13">
        <v>388678.696</v>
      </c>
      <c r="H101" s="13">
        <v>19550.303</v>
      </c>
      <c r="I101" s="13">
        <v>21297.471999999998</v>
      </c>
      <c r="J101" s="13">
        <v>9183.223</v>
      </c>
      <c r="K101" s="13">
        <v>69822.502999999997</v>
      </c>
      <c r="L101" s="13">
        <v>9748.7350000000006</v>
      </c>
      <c r="M101" s="13">
        <v>2610.7550000000001</v>
      </c>
      <c r="N101" s="13">
        <v>4350.18</v>
      </c>
      <c r="O101" s="13">
        <v>4539.1369999999997</v>
      </c>
      <c r="W101" s="2"/>
    </row>
    <row r="102" spans="1:25" x14ac:dyDescent="0.25">
      <c r="A102" s="15">
        <v>42160</v>
      </c>
      <c r="B102" s="15">
        <v>42174</v>
      </c>
      <c r="C102" s="15">
        <v>42187</v>
      </c>
      <c r="D102" s="13">
        <f t="shared" si="3"/>
        <v>753225.41999999993</v>
      </c>
      <c r="E102" s="13">
        <v>119841.36600000001</v>
      </c>
      <c r="F102" s="13">
        <v>103493.179</v>
      </c>
      <c r="G102" s="13">
        <v>388631.15700000001</v>
      </c>
      <c r="H102" s="13">
        <v>20770.386999999999</v>
      </c>
      <c r="I102" s="13">
        <v>20339.872000000003</v>
      </c>
      <c r="J102" s="13">
        <v>9085.5650000000005</v>
      </c>
      <c r="K102" s="13">
        <v>69529.34</v>
      </c>
      <c r="L102" s="13">
        <v>10041.031000000001</v>
      </c>
      <c r="M102" s="13">
        <v>2610.7559999999999</v>
      </c>
      <c r="N102" s="13">
        <v>4342.74</v>
      </c>
      <c r="O102" s="13">
        <v>4540.027</v>
      </c>
      <c r="X102" s="2"/>
    </row>
    <row r="103" spans="1:25" x14ac:dyDescent="0.25">
      <c r="A103" s="15">
        <v>42174</v>
      </c>
      <c r="B103" s="15">
        <v>42188</v>
      </c>
      <c r="C103" s="15">
        <v>42201</v>
      </c>
      <c r="D103" s="13">
        <f t="shared" si="3"/>
        <v>757980.61600000015</v>
      </c>
      <c r="E103" s="13">
        <v>123441.254</v>
      </c>
      <c r="F103" s="13">
        <v>103991.274</v>
      </c>
      <c r="G103" s="13">
        <v>389604.25300000003</v>
      </c>
      <c r="H103" s="13">
        <v>21551.906999999999</v>
      </c>
      <c r="I103" s="13">
        <v>19251.198</v>
      </c>
      <c r="J103" s="13">
        <v>8911.7109999999993</v>
      </c>
      <c r="K103" s="13">
        <v>69932.501000000004</v>
      </c>
      <c r="L103" s="13">
        <v>9782.0280000000002</v>
      </c>
      <c r="M103" s="13">
        <v>2635.7559999999999</v>
      </c>
      <c r="N103" s="13">
        <v>4341.0569999999998</v>
      </c>
      <c r="O103" s="13">
        <v>4537.6769999999997</v>
      </c>
      <c r="X103" s="2"/>
    </row>
    <row r="104" spans="1:25" x14ac:dyDescent="0.25">
      <c r="A104" s="15">
        <v>42188</v>
      </c>
      <c r="B104" s="15">
        <v>42205</v>
      </c>
      <c r="C104" s="15">
        <v>42215</v>
      </c>
      <c r="D104" s="13">
        <f t="shared" si="3"/>
        <v>748038.7620000001</v>
      </c>
      <c r="E104" s="13">
        <v>118776.50199999999</v>
      </c>
      <c r="F104" s="13">
        <v>100937.329</v>
      </c>
      <c r="G104" s="13">
        <v>387696.36300000001</v>
      </c>
      <c r="H104" s="13">
        <v>25587.089</v>
      </c>
      <c r="I104" s="13">
        <v>18742.061000000002</v>
      </c>
      <c r="J104" s="13">
        <v>8883.8270000000011</v>
      </c>
      <c r="K104" s="13">
        <v>65858.747000000003</v>
      </c>
      <c r="L104" s="13">
        <v>9868.42</v>
      </c>
      <c r="M104" s="13">
        <v>2710.7150000000001</v>
      </c>
      <c r="N104" s="13">
        <v>4433.0720000000001</v>
      </c>
      <c r="O104" s="13">
        <v>4544.6369999999997</v>
      </c>
      <c r="X104" s="2"/>
    </row>
    <row r="105" spans="1:25" x14ac:dyDescent="0.25">
      <c r="A105" s="15">
        <v>42205</v>
      </c>
      <c r="B105" s="15">
        <v>42216</v>
      </c>
      <c r="C105" s="15">
        <v>42229</v>
      </c>
      <c r="D105" s="13">
        <f t="shared" si="3"/>
        <v>756594.09700000007</v>
      </c>
      <c r="E105" s="13">
        <v>129776.80899999999</v>
      </c>
      <c r="F105" s="13">
        <v>98629.414999999994</v>
      </c>
      <c r="G105" s="13">
        <v>386696.17700000003</v>
      </c>
      <c r="H105" s="13">
        <v>26100.017</v>
      </c>
      <c r="I105" s="13">
        <v>18537.705000000002</v>
      </c>
      <c r="J105" s="13">
        <v>8892.884</v>
      </c>
      <c r="K105" s="13">
        <v>66284.066999999995</v>
      </c>
      <c r="L105" s="13">
        <v>9939.5300000000007</v>
      </c>
      <c r="M105" s="13">
        <v>2740.7150000000001</v>
      </c>
      <c r="N105" s="13">
        <v>4433.0720000000001</v>
      </c>
      <c r="O105" s="13">
        <v>4563.7060000000001</v>
      </c>
      <c r="X105" s="2"/>
    </row>
    <row r="106" spans="1:25" x14ac:dyDescent="0.25">
      <c r="A106" s="15">
        <v>42216</v>
      </c>
      <c r="B106" s="15">
        <v>42230</v>
      </c>
      <c r="C106" s="15">
        <v>42243</v>
      </c>
      <c r="D106" s="13">
        <f t="shared" si="3"/>
        <v>782462.15300000005</v>
      </c>
      <c r="E106" s="13">
        <v>142436.45300000001</v>
      </c>
      <c r="F106" s="13">
        <v>109721.204</v>
      </c>
      <c r="G106" s="13">
        <v>388766.23</v>
      </c>
      <c r="H106" s="13">
        <v>25835.199000000001</v>
      </c>
      <c r="I106" s="13">
        <v>18838.472000000002</v>
      </c>
      <c r="J106" s="13">
        <v>8852.348</v>
      </c>
      <c r="K106" s="13">
        <v>67025.486000000004</v>
      </c>
      <c r="L106" s="13">
        <v>9955.4220000000005</v>
      </c>
      <c r="M106" s="13">
        <v>2770.1309999999999</v>
      </c>
      <c r="N106" s="13">
        <v>4435.8900000000003</v>
      </c>
      <c r="O106" s="13">
        <v>3825.3180000000002</v>
      </c>
      <c r="X106" s="2"/>
    </row>
    <row r="107" spans="1:25" x14ac:dyDescent="0.25">
      <c r="A107" s="15">
        <v>42230</v>
      </c>
      <c r="B107" s="15">
        <v>42244</v>
      </c>
      <c r="C107" s="15">
        <v>42257</v>
      </c>
      <c r="D107" s="13">
        <f t="shared" si="3"/>
        <v>777672.10799999989</v>
      </c>
      <c r="E107" s="13">
        <v>133869.96599999999</v>
      </c>
      <c r="F107" s="13">
        <v>107208.13499999999</v>
      </c>
      <c r="G107" s="13">
        <v>394858.076</v>
      </c>
      <c r="H107" s="13">
        <v>25512.344000000001</v>
      </c>
      <c r="I107" s="13">
        <v>18673.845000000001</v>
      </c>
      <c r="J107" s="13">
        <v>8904.2799999999988</v>
      </c>
      <c r="K107" s="13">
        <v>67194.968999999997</v>
      </c>
      <c r="L107" s="13">
        <v>10237.102000000001</v>
      </c>
      <c r="M107" s="13">
        <v>2870.1320000000001</v>
      </c>
      <c r="N107" s="13">
        <v>4499.7330000000002</v>
      </c>
      <c r="O107" s="13">
        <v>3843.5259999999998</v>
      </c>
      <c r="X107" s="2"/>
    </row>
    <row r="108" spans="1:25" x14ac:dyDescent="0.25">
      <c r="A108" s="15">
        <v>42244</v>
      </c>
      <c r="B108" s="15">
        <v>42258</v>
      </c>
      <c r="C108" s="15">
        <v>42271</v>
      </c>
      <c r="D108" s="13">
        <f t="shared" si="3"/>
        <v>766728.95200000005</v>
      </c>
      <c r="E108" s="13">
        <v>128304.894</v>
      </c>
      <c r="F108" s="13">
        <v>98428.198000000004</v>
      </c>
      <c r="G108" s="13">
        <v>401754.60600000003</v>
      </c>
      <c r="H108" s="13">
        <v>25479.673999999999</v>
      </c>
      <c r="I108" s="13">
        <v>14726.463</v>
      </c>
      <c r="J108" s="13">
        <v>8925.7459999999992</v>
      </c>
      <c r="K108" s="13">
        <v>67538.641000000003</v>
      </c>
      <c r="L108" s="13">
        <v>10233.425999999999</v>
      </c>
      <c r="M108" s="13">
        <v>2995.09</v>
      </c>
      <c r="N108" s="13">
        <v>4537.152</v>
      </c>
      <c r="O108" s="13">
        <v>3805.0619999999999</v>
      </c>
      <c r="X108" s="2"/>
    </row>
    <row r="109" spans="1:25" x14ac:dyDescent="0.25">
      <c r="A109" s="15">
        <v>42258</v>
      </c>
      <c r="B109" s="15">
        <v>42275</v>
      </c>
      <c r="C109" s="15">
        <v>42285</v>
      </c>
      <c r="D109" s="13">
        <f t="shared" si="3"/>
        <v>789901.56499999983</v>
      </c>
      <c r="E109" s="13">
        <v>136639.81</v>
      </c>
      <c r="F109" s="13">
        <v>110229.40700000001</v>
      </c>
      <c r="G109" s="13">
        <v>404618.95199999999</v>
      </c>
      <c r="H109" s="13">
        <v>24988.02</v>
      </c>
      <c r="I109" s="13">
        <v>14383.602000000001</v>
      </c>
      <c r="J109" s="13">
        <v>8953.509</v>
      </c>
      <c r="K109" s="13">
        <v>68523.865000000005</v>
      </c>
      <c r="L109" s="13">
        <v>10245.786</v>
      </c>
      <c r="M109" s="13">
        <v>2995.09</v>
      </c>
      <c r="N109" s="13">
        <v>4536.8680000000004</v>
      </c>
      <c r="O109" s="13">
        <v>3786.6559999999999</v>
      </c>
      <c r="X109" s="2"/>
    </row>
    <row r="110" spans="1:25" x14ac:dyDescent="0.25">
      <c r="A110" s="15">
        <v>42270</v>
      </c>
      <c r="B110" s="15">
        <v>42286</v>
      </c>
      <c r="C110" s="15">
        <v>42299</v>
      </c>
      <c r="D110" s="13">
        <f t="shared" si="3"/>
        <v>782747.79400000011</v>
      </c>
      <c r="E110" s="13">
        <v>131247.62</v>
      </c>
      <c r="F110" s="13">
        <v>111949.00900000001</v>
      </c>
      <c r="G110" s="13">
        <v>401505.554</v>
      </c>
      <c r="H110" s="13">
        <v>24552.121999999999</v>
      </c>
      <c r="I110" s="13">
        <v>14595.601000000001</v>
      </c>
      <c r="J110" s="13">
        <v>8993.8860000000004</v>
      </c>
      <c r="K110" s="13">
        <v>68227.990999999995</v>
      </c>
      <c r="L110" s="13">
        <v>10384.862999999999</v>
      </c>
      <c r="M110" s="13">
        <v>2995.0889999999999</v>
      </c>
      <c r="N110" s="13">
        <v>4527.9579999999996</v>
      </c>
      <c r="O110" s="13">
        <v>3768.1010000000001</v>
      </c>
      <c r="X110" s="2"/>
    </row>
    <row r="111" spans="1:25" x14ac:dyDescent="0.25">
      <c r="A111" s="15">
        <v>42286</v>
      </c>
      <c r="B111" s="15">
        <v>42300</v>
      </c>
      <c r="C111" s="15">
        <v>42313</v>
      </c>
      <c r="D111" s="13">
        <f t="shared" si="3"/>
        <v>777950.21000000008</v>
      </c>
      <c r="E111" s="13">
        <v>123434.659</v>
      </c>
      <c r="F111" s="13">
        <v>112271.738</v>
      </c>
      <c r="G111" s="13">
        <v>407861.054</v>
      </c>
      <c r="H111" s="13">
        <v>20718.483</v>
      </c>
      <c r="I111" s="13">
        <v>14553.846</v>
      </c>
      <c r="J111" s="13">
        <v>8968.8449999999993</v>
      </c>
      <c r="K111" s="13">
        <v>68427.892999999996</v>
      </c>
      <c r="L111" s="13">
        <v>10316.530000000001</v>
      </c>
      <c r="M111" s="13">
        <v>3027.0479999999998</v>
      </c>
      <c r="N111" s="13">
        <v>4593.8310000000001</v>
      </c>
      <c r="O111" s="13">
        <v>3776.2829999999999</v>
      </c>
      <c r="X111" s="2"/>
    </row>
    <row r="112" spans="1:25" x14ac:dyDescent="0.25">
      <c r="A112" s="15">
        <v>42300</v>
      </c>
      <c r="B112" s="15">
        <v>42314</v>
      </c>
      <c r="C112" s="15">
        <v>42327</v>
      </c>
      <c r="D112" s="13">
        <f t="shared" si="3"/>
        <v>778063.41500000004</v>
      </c>
      <c r="E112" s="13">
        <v>129298.179</v>
      </c>
      <c r="F112" s="13">
        <v>100367.537</v>
      </c>
      <c r="G112" s="13">
        <v>413665.45799999998</v>
      </c>
      <c r="H112" s="13">
        <v>20953.937000000002</v>
      </c>
      <c r="I112" s="13">
        <v>15041.425999999999</v>
      </c>
      <c r="J112" s="13">
        <v>8895.1209999999992</v>
      </c>
      <c r="K112" s="13">
        <v>68163.285000000003</v>
      </c>
      <c r="L112" s="13">
        <v>10288.612999999999</v>
      </c>
      <c r="M112" s="13">
        <v>3046.9650000000001</v>
      </c>
      <c r="N112" s="13">
        <v>4594.7370000000001</v>
      </c>
      <c r="O112" s="13">
        <v>3748.1570000000002</v>
      </c>
      <c r="X112" s="2"/>
    </row>
    <row r="113" spans="1:25" x14ac:dyDescent="0.25">
      <c r="A113" s="15">
        <v>42314</v>
      </c>
      <c r="B113" s="15">
        <v>42328</v>
      </c>
      <c r="C113" s="15">
        <v>42341</v>
      </c>
      <c r="D113" s="13">
        <f t="shared" si="3"/>
        <v>777244.5290000001</v>
      </c>
      <c r="E113" s="13">
        <v>124082.428</v>
      </c>
      <c r="F113" s="13">
        <v>105649.421</v>
      </c>
      <c r="G113" s="13">
        <v>411889.60100000002</v>
      </c>
      <c r="H113" s="13">
        <v>22523.753000000001</v>
      </c>
      <c r="I113" s="13">
        <v>15133.96</v>
      </c>
      <c r="J113" s="13">
        <v>8943.6650000000009</v>
      </c>
      <c r="K113" s="13">
        <v>67333.952000000005</v>
      </c>
      <c r="L113" s="13">
        <v>10286.861000000001</v>
      </c>
      <c r="M113" s="13">
        <v>3056.4639999999999</v>
      </c>
      <c r="N113" s="13">
        <v>4589.9409999999998</v>
      </c>
      <c r="O113" s="13">
        <v>3754.4830000000002</v>
      </c>
      <c r="X113" s="2"/>
    </row>
    <row r="114" spans="1:25" x14ac:dyDescent="0.25">
      <c r="A114" s="15">
        <v>42328</v>
      </c>
      <c r="B114" s="15">
        <v>42342</v>
      </c>
      <c r="C114" s="15">
        <v>42355</v>
      </c>
      <c r="D114" s="13">
        <f t="shared" si="3"/>
        <v>776302.16500000004</v>
      </c>
      <c r="E114" s="13">
        <v>127367.10799999999</v>
      </c>
      <c r="F114" s="13">
        <v>104692.542</v>
      </c>
      <c r="G114" s="13">
        <v>407276.63500000001</v>
      </c>
      <c r="H114" s="13">
        <v>22843.027999999998</v>
      </c>
      <c r="I114" s="13">
        <v>15549.26</v>
      </c>
      <c r="J114" s="13">
        <v>9044.3989999999994</v>
      </c>
      <c r="K114" s="13">
        <v>68337.046000000002</v>
      </c>
      <c r="L114" s="13">
        <v>9933.3070000000007</v>
      </c>
      <c r="M114" s="13">
        <v>2914.0360000000001</v>
      </c>
      <c r="N114" s="13">
        <v>4609.6090000000004</v>
      </c>
      <c r="O114" s="13">
        <v>3735.1950000000002</v>
      </c>
      <c r="X114" s="2"/>
    </row>
    <row r="115" spans="1:25" x14ac:dyDescent="0.25">
      <c r="A115" s="15">
        <v>42342</v>
      </c>
      <c r="B115" s="15">
        <v>42356</v>
      </c>
      <c r="C115" s="15">
        <v>42372</v>
      </c>
      <c r="D115" s="13">
        <f t="shared" si="3"/>
        <v>780853.32600000012</v>
      </c>
      <c r="E115" s="13">
        <v>125547.822</v>
      </c>
      <c r="F115" s="13">
        <v>110631.955</v>
      </c>
      <c r="G115" s="13">
        <v>407343.90700000001</v>
      </c>
      <c r="H115" s="13">
        <v>24096.440999999999</v>
      </c>
      <c r="I115" s="13">
        <v>14972.066999999999</v>
      </c>
      <c r="J115" s="13">
        <v>9042.6180000000004</v>
      </c>
      <c r="K115" s="13">
        <v>67870.892999999996</v>
      </c>
      <c r="L115" s="13">
        <v>10052.334999999999</v>
      </c>
      <c r="M115" s="13">
        <v>2934.0349999999999</v>
      </c>
      <c r="N115" s="13">
        <v>4621.7830000000004</v>
      </c>
      <c r="O115" s="13">
        <v>3739.47</v>
      </c>
      <c r="X115" s="2"/>
    </row>
    <row r="116" spans="1:25" x14ac:dyDescent="0.25">
      <c r="A116" s="15">
        <v>42356</v>
      </c>
      <c r="B116" s="15">
        <v>42373</v>
      </c>
      <c r="C116" s="15">
        <v>42383</v>
      </c>
      <c r="D116" s="13">
        <f t="shared" si="3"/>
        <v>794367.24700000009</v>
      </c>
      <c r="E116" s="13">
        <v>132312.14499999999</v>
      </c>
      <c r="F116" s="13">
        <v>109351.166</v>
      </c>
      <c r="G116" s="13">
        <v>413746.19199999998</v>
      </c>
      <c r="H116" s="13">
        <v>25616.416000000001</v>
      </c>
      <c r="I116" s="13">
        <v>14730.248</v>
      </c>
      <c r="J116" s="13">
        <v>9122.4940000000006</v>
      </c>
      <c r="K116" s="13">
        <v>67626.349000000002</v>
      </c>
      <c r="L116" s="13">
        <v>10200.995999999999</v>
      </c>
      <c r="M116" s="13">
        <v>2972.0349999999999</v>
      </c>
      <c r="N116" s="13">
        <v>4951.1000000000004</v>
      </c>
      <c r="O116" s="13">
        <v>3738.1060000000002</v>
      </c>
      <c r="X116" s="2"/>
    </row>
    <row r="117" spans="1:25" x14ac:dyDescent="0.25">
      <c r="A117" s="15">
        <v>42369</v>
      </c>
      <c r="B117" s="15">
        <v>42384</v>
      </c>
      <c r="C117" s="15">
        <v>42397</v>
      </c>
      <c r="D117" s="13">
        <f t="shared" si="3"/>
        <v>805838.27300000004</v>
      </c>
      <c r="E117" s="13">
        <v>135187.09400000001</v>
      </c>
      <c r="F117" s="13">
        <v>101334.26</v>
      </c>
      <c r="G117" s="13">
        <v>428583.554</v>
      </c>
      <c r="H117" s="13">
        <v>28121.330999999998</v>
      </c>
      <c r="I117" s="13">
        <v>14731.022000000001</v>
      </c>
      <c r="J117" s="13">
        <v>9128.8240000000005</v>
      </c>
      <c r="K117" s="13">
        <v>66830.854000000007</v>
      </c>
      <c r="L117" s="13">
        <v>10438.217000000001</v>
      </c>
      <c r="M117" s="13">
        <v>2773.2939999999999</v>
      </c>
      <c r="N117" s="13">
        <v>4981.91</v>
      </c>
      <c r="O117" s="13">
        <v>3727.913</v>
      </c>
      <c r="X117" s="2"/>
    </row>
    <row r="118" spans="1:25" x14ac:dyDescent="0.25">
      <c r="A118" s="15">
        <v>42384</v>
      </c>
      <c r="B118" s="15">
        <v>42398</v>
      </c>
      <c r="C118" s="15">
        <v>42411</v>
      </c>
      <c r="D118" s="13">
        <f t="shared" si="3"/>
        <v>831180.19599999988</v>
      </c>
      <c r="E118" s="13">
        <v>144894.965</v>
      </c>
      <c r="F118" s="13">
        <v>107922.31</v>
      </c>
      <c r="G118" s="13">
        <v>438224.18300000002</v>
      </c>
      <c r="H118" s="13">
        <v>27822.181</v>
      </c>
      <c r="I118" s="13">
        <v>15325.884</v>
      </c>
      <c r="J118" s="13">
        <v>8873.6810000000005</v>
      </c>
      <c r="K118" s="13">
        <v>65961.019</v>
      </c>
      <c r="L118" s="13">
        <v>10676.173000000001</v>
      </c>
      <c r="M118" s="13">
        <v>2724.8620000000001</v>
      </c>
      <c r="N118" s="13">
        <v>5011.6869999999999</v>
      </c>
      <c r="O118" s="13">
        <v>3743.2510000000002</v>
      </c>
      <c r="X118" s="2"/>
    </row>
    <row r="119" spans="1:25" x14ac:dyDescent="0.25">
      <c r="A119" s="17">
        <v>42398</v>
      </c>
      <c r="B119" s="17">
        <v>42412</v>
      </c>
      <c r="C119" s="17">
        <v>42425</v>
      </c>
      <c r="D119" s="18">
        <f t="shared" ref="D119" si="4">+SUM(E119:Q119)</f>
        <v>812379.88599999994</v>
      </c>
      <c r="E119" s="18">
        <v>134249.26500000001</v>
      </c>
      <c r="F119" s="18">
        <v>100077.595</v>
      </c>
      <c r="G119" s="18">
        <v>437189.75799999997</v>
      </c>
      <c r="H119" s="18">
        <v>28358.017</v>
      </c>
      <c r="I119" s="18">
        <v>14893.154</v>
      </c>
      <c r="J119" s="18">
        <v>8815.8670000000002</v>
      </c>
      <c r="K119" s="18">
        <v>66725.615000000005</v>
      </c>
      <c r="L119" s="18">
        <v>10615.558999999999</v>
      </c>
      <c r="M119" s="18">
        <v>2724.8620000000001</v>
      </c>
      <c r="N119" s="18">
        <v>5001.2610000000004</v>
      </c>
      <c r="O119" s="18">
        <v>3728.933</v>
      </c>
      <c r="X119" s="2"/>
    </row>
    <row r="120" spans="1:25" x14ac:dyDescent="0.25">
      <c r="A120" s="5"/>
      <c r="B120" s="5"/>
      <c r="C120" s="5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4"/>
      <c r="O120" s="4"/>
      <c r="W120" s="2"/>
      <c r="Y120" s="2"/>
    </row>
    <row r="121" spans="1:25" s="2" customFormat="1" ht="78.75" customHeight="1" x14ac:dyDescent="0.25">
      <c r="A121" s="34" t="s">
        <v>9</v>
      </c>
      <c r="B121" s="35" t="s">
        <v>40</v>
      </c>
      <c r="C121" s="35" t="s">
        <v>41</v>
      </c>
      <c r="D121" s="36" t="s">
        <v>6</v>
      </c>
      <c r="E121" s="36" t="s">
        <v>0</v>
      </c>
      <c r="F121" s="36" t="s">
        <v>2</v>
      </c>
      <c r="G121" s="36" t="s">
        <v>3</v>
      </c>
      <c r="H121" s="36" t="s">
        <v>4</v>
      </c>
      <c r="I121" s="36" t="s">
        <v>1</v>
      </c>
      <c r="J121" s="36" t="s">
        <v>5</v>
      </c>
      <c r="K121" s="36" t="s">
        <v>7</v>
      </c>
      <c r="L121" s="36" t="s">
        <v>28</v>
      </c>
      <c r="M121" s="36" t="s">
        <v>8</v>
      </c>
      <c r="N121" s="36" t="s">
        <v>11</v>
      </c>
      <c r="O121" s="36" t="s">
        <v>12</v>
      </c>
      <c r="P121" s="37" t="s">
        <v>29</v>
      </c>
    </row>
    <row r="122" spans="1:25" x14ac:dyDescent="0.25">
      <c r="A122" s="25">
        <v>42412</v>
      </c>
      <c r="B122" s="25">
        <v>42426</v>
      </c>
      <c r="C122" s="25">
        <v>42439</v>
      </c>
      <c r="D122" s="12">
        <f t="shared" ref="D122:D185" si="5">+SUM(E122:Q122)</f>
        <v>825251.6889999999</v>
      </c>
      <c r="E122" s="12">
        <v>136013.34</v>
      </c>
      <c r="F122" s="12">
        <v>104692.30499999999</v>
      </c>
      <c r="G122" s="12">
        <v>432661.25099999999</v>
      </c>
      <c r="H122" s="12">
        <v>30396.797999999999</v>
      </c>
      <c r="I122" s="12">
        <v>15601.905000000001</v>
      </c>
      <c r="J122" s="12">
        <v>8696.9249999999993</v>
      </c>
      <c r="K122" s="12">
        <v>74849.697</v>
      </c>
      <c r="L122" s="12">
        <v>10818.504000000001</v>
      </c>
      <c r="M122" s="12">
        <v>2724.8620000000001</v>
      </c>
      <c r="N122" s="12">
        <v>5030.6710000000003</v>
      </c>
      <c r="O122" s="12">
        <v>3738.4670000000001</v>
      </c>
      <c r="P122" s="12">
        <v>26.963999999999999</v>
      </c>
      <c r="X122" s="2"/>
    </row>
    <row r="123" spans="1:25" x14ac:dyDescent="0.25">
      <c r="A123" s="15">
        <v>42426</v>
      </c>
      <c r="B123" s="15">
        <v>42440</v>
      </c>
      <c r="C123" s="15">
        <v>42453</v>
      </c>
      <c r="D123" s="13">
        <f t="shared" si="5"/>
        <v>828618.28700000001</v>
      </c>
      <c r="E123" s="13">
        <v>140272.628</v>
      </c>
      <c r="F123" s="13">
        <v>100423.05899999999</v>
      </c>
      <c r="G123" s="13">
        <v>431519.07900000003</v>
      </c>
      <c r="H123" s="13">
        <v>32893.029000000002</v>
      </c>
      <c r="I123" s="13">
        <v>16374.642</v>
      </c>
      <c r="J123" s="13">
        <v>8573.2330000000002</v>
      </c>
      <c r="K123" s="13">
        <v>76546.952999999994</v>
      </c>
      <c r="L123" s="13">
        <v>10588.205</v>
      </c>
      <c r="M123" s="13">
        <v>2727.52</v>
      </c>
      <c r="N123" s="13">
        <v>4947.0870000000004</v>
      </c>
      <c r="O123" s="13">
        <v>3719.7469999999998</v>
      </c>
      <c r="P123" s="13">
        <v>33.104999999999997</v>
      </c>
      <c r="X123" s="2"/>
    </row>
    <row r="124" spans="1:25" x14ac:dyDescent="0.25">
      <c r="A124" s="15">
        <v>42440</v>
      </c>
      <c r="B124" s="15">
        <v>42454</v>
      </c>
      <c r="C124" s="15">
        <v>42467</v>
      </c>
      <c r="D124" s="13">
        <f t="shared" si="5"/>
        <v>831319.85800000001</v>
      </c>
      <c r="E124" s="13">
        <v>133806.32399999999</v>
      </c>
      <c r="F124" s="13">
        <v>105244.708</v>
      </c>
      <c r="G124" s="13">
        <v>435020.51299999998</v>
      </c>
      <c r="H124" s="13">
        <v>33854.364000000001</v>
      </c>
      <c r="I124" s="13">
        <v>16932.288</v>
      </c>
      <c r="J124" s="13">
        <v>8306.6650000000009</v>
      </c>
      <c r="K124" s="13">
        <v>76408.764999999999</v>
      </c>
      <c r="L124" s="13">
        <v>10936.525</v>
      </c>
      <c r="M124" s="13">
        <v>2810.3180000000002</v>
      </c>
      <c r="N124" s="13">
        <v>4224.7359999999999</v>
      </c>
      <c r="O124" s="13">
        <v>3745.9450000000002</v>
      </c>
      <c r="P124" s="13">
        <v>28.707000000000001</v>
      </c>
      <c r="X124" s="2"/>
    </row>
    <row r="125" spans="1:25" x14ac:dyDescent="0.25">
      <c r="A125" s="15">
        <v>42454</v>
      </c>
      <c r="B125" s="15">
        <v>42468</v>
      </c>
      <c r="C125" s="15">
        <v>42481</v>
      </c>
      <c r="D125" s="13">
        <f t="shared" si="5"/>
        <v>825152.19899999991</v>
      </c>
      <c r="E125" s="13">
        <v>129776.249</v>
      </c>
      <c r="F125" s="13">
        <v>101138.66099999999</v>
      </c>
      <c r="G125" s="13">
        <v>434031.53399999999</v>
      </c>
      <c r="H125" s="13">
        <v>35414.741999999998</v>
      </c>
      <c r="I125" s="13">
        <v>17564.327000000001</v>
      </c>
      <c r="J125" s="13">
        <v>8477.6350000000002</v>
      </c>
      <c r="K125" s="13">
        <v>76700.114000000001</v>
      </c>
      <c r="L125" s="13">
        <v>11278.85</v>
      </c>
      <c r="M125" s="13">
        <v>2810.1559999999999</v>
      </c>
      <c r="N125" s="13">
        <v>4216.567</v>
      </c>
      <c r="O125" s="13">
        <v>3715.0549999999998</v>
      </c>
      <c r="P125" s="13">
        <v>28.309000000000001</v>
      </c>
      <c r="X125" s="2"/>
    </row>
    <row r="126" spans="1:25" x14ac:dyDescent="0.25">
      <c r="A126" s="15">
        <v>42468</v>
      </c>
      <c r="B126" s="15">
        <v>42482</v>
      </c>
      <c r="C126" s="15">
        <v>42495</v>
      </c>
      <c r="D126" s="13">
        <f t="shared" si="5"/>
        <v>825400.71499999985</v>
      </c>
      <c r="E126" s="13">
        <v>126939.36199999999</v>
      </c>
      <c r="F126" s="13">
        <v>104879.681</v>
      </c>
      <c r="G126" s="13">
        <v>431902.22899999999</v>
      </c>
      <c r="H126" s="13">
        <v>37010.836000000003</v>
      </c>
      <c r="I126" s="13">
        <v>18348.677</v>
      </c>
      <c r="J126" s="13">
        <v>8412.98</v>
      </c>
      <c r="K126" s="13">
        <v>76056.085000000006</v>
      </c>
      <c r="L126" s="13">
        <v>11634.075999999999</v>
      </c>
      <c r="M126" s="13">
        <v>2353.114</v>
      </c>
      <c r="N126" s="13">
        <v>4192.0460000000003</v>
      </c>
      <c r="O126" s="13">
        <v>3654.808</v>
      </c>
      <c r="P126" s="13">
        <v>16.821000000000002</v>
      </c>
      <c r="X126" s="2"/>
    </row>
    <row r="127" spans="1:25" x14ac:dyDescent="0.25">
      <c r="A127" s="15">
        <v>42482</v>
      </c>
      <c r="B127" s="15">
        <v>42496</v>
      </c>
      <c r="C127" s="15">
        <v>42509</v>
      </c>
      <c r="D127" s="13">
        <f t="shared" si="5"/>
        <v>828006.58299999998</v>
      </c>
      <c r="E127" s="13">
        <v>131666.701</v>
      </c>
      <c r="F127" s="13">
        <v>101094.261</v>
      </c>
      <c r="G127" s="13">
        <v>430198.20699999999</v>
      </c>
      <c r="H127" s="13">
        <v>38521.415999999997</v>
      </c>
      <c r="I127" s="13">
        <v>18885.393</v>
      </c>
      <c r="J127" s="13">
        <v>8605.2530000000006</v>
      </c>
      <c r="K127" s="13">
        <v>77022.498000000007</v>
      </c>
      <c r="L127" s="13">
        <v>11978.958000000001</v>
      </c>
      <c r="M127" s="13">
        <v>2176.114</v>
      </c>
      <c r="N127" s="13">
        <v>4190.3829999999998</v>
      </c>
      <c r="O127" s="13">
        <v>3651.0859999999998</v>
      </c>
      <c r="P127" s="13">
        <v>16.312999999999999</v>
      </c>
      <c r="X127" s="2"/>
    </row>
    <row r="128" spans="1:25" x14ac:dyDescent="0.25">
      <c r="A128" s="15">
        <v>42496</v>
      </c>
      <c r="B128" s="15">
        <v>42510</v>
      </c>
      <c r="C128" s="15">
        <v>42523</v>
      </c>
      <c r="D128" s="13">
        <f t="shared" si="5"/>
        <v>837662.4929999999</v>
      </c>
      <c r="E128" s="13">
        <v>132897.78099999999</v>
      </c>
      <c r="F128" s="13">
        <v>108579.048</v>
      </c>
      <c r="G128" s="13">
        <v>433708.02299999999</v>
      </c>
      <c r="H128" s="13">
        <v>36878.525000000001</v>
      </c>
      <c r="I128" s="13">
        <v>18350.484</v>
      </c>
      <c r="J128" s="13">
        <v>8516.1560000000009</v>
      </c>
      <c r="K128" s="13">
        <v>76736.717999999993</v>
      </c>
      <c r="L128" s="13">
        <v>12064.57</v>
      </c>
      <c r="M128" s="13">
        <v>2156.1149999999998</v>
      </c>
      <c r="N128" s="13">
        <v>4179.741</v>
      </c>
      <c r="O128" s="13">
        <v>3576.9059999999999</v>
      </c>
      <c r="P128" s="13">
        <v>18.425999999999998</v>
      </c>
      <c r="X128" s="2"/>
    </row>
    <row r="129" spans="1:24" x14ac:dyDescent="0.25">
      <c r="A129" s="15">
        <v>42510</v>
      </c>
      <c r="B129" s="15">
        <v>42524</v>
      </c>
      <c r="C129" s="15">
        <v>42537</v>
      </c>
      <c r="D129" s="13">
        <f t="shared" si="5"/>
        <v>850581.55900000001</v>
      </c>
      <c r="E129" s="13">
        <v>140023.67000000001</v>
      </c>
      <c r="F129" s="13">
        <v>110767.463</v>
      </c>
      <c r="G129" s="13">
        <v>436612.467</v>
      </c>
      <c r="H129" s="13">
        <v>36454.851999999999</v>
      </c>
      <c r="I129" s="13">
        <v>18567.310000000001</v>
      </c>
      <c r="J129" s="13">
        <v>8484.7109999999993</v>
      </c>
      <c r="K129" s="13">
        <v>77547.032999999996</v>
      </c>
      <c r="L129" s="13">
        <v>12113.074000000001</v>
      </c>
      <c r="M129" s="13">
        <v>2230.7840000000001</v>
      </c>
      <c r="N129" s="13">
        <v>4181.433</v>
      </c>
      <c r="O129" s="13">
        <v>3581.42</v>
      </c>
      <c r="P129" s="13">
        <v>17.341999999999999</v>
      </c>
      <c r="X129" s="2"/>
    </row>
    <row r="130" spans="1:24" x14ac:dyDescent="0.25">
      <c r="A130" s="15">
        <v>42524</v>
      </c>
      <c r="B130" s="15">
        <v>42538</v>
      </c>
      <c r="C130" s="15">
        <v>42551</v>
      </c>
      <c r="D130" s="13">
        <f t="shared" si="5"/>
        <v>853451.99199999985</v>
      </c>
      <c r="E130" s="13">
        <v>138933.82199999999</v>
      </c>
      <c r="F130" s="13">
        <v>114977.577</v>
      </c>
      <c r="G130" s="13">
        <v>439065.39199999999</v>
      </c>
      <c r="H130" s="13">
        <v>34309.762000000002</v>
      </c>
      <c r="I130" s="13">
        <v>18443.16</v>
      </c>
      <c r="J130" s="13">
        <v>8601.509</v>
      </c>
      <c r="K130" s="13">
        <v>76885.659</v>
      </c>
      <c r="L130" s="13">
        <v>12320.428</v>
      </c>
      <c r="M130" s="13">
        <v>1986.47</v>
      </c>
      <c r="N130" s="13">
        <v>4260.9930000000004</v>
      </c>
      <c r="O130" s="13">
        <v>3638.51</v>
      </c>
      <c r="P130" s="13">
        <v>28.71</v>
      </c>
      <c r="X130" s="2"/>
    </row>
    <row r="131" spans="1:24" x14ac:dyDescent="0.25">
      <c r="A131" s="15">
        <v>42538</v>
      </c>
      <c r="B131" s="15">
        <v>42552</v>
      </c>
      <c r="C131" s="15">
        <v>42565</v>
      </c>
      <c r="D131" s="13">
        <f t="shared" si="5"/>
        <v>860547.34100000013</v>
      </c>
      <c r="E131" s="13">
        <v>144951.45800000001</v>
      </c>
      <c r="F131" s="13">
        <v>106811.85400000001</v>
      </c>
      <c r="G131" s="13">
        <v>446003.174</v>
      </c>
      <c r="H131" s="13">
        <v>36429.497000000003</v>
      </c>
      <c r="I131" s="13">
        <v>19108.406999999999</v>
      </c>
      <c r="J131" s="13">
        <v>8598.1869999999999</v>
      </c>
      <c r="K131" s="13">
        <v>76146.066000000006</v>
      </c>
      <c r="L131" s="13">
        <v>12578.572</v>
      </c>
      <c r="M131" s="13">
        <v>1966.4690000000001</v>
      </c>
      <c r="N131" s="13">
        <v>4270.9089999999997</v>
      </c>
      <c r="O131" s="13">
        <v>3642.7080000000001</v>
      </c>
      <c r="P131" s="13">
        <v>40.04</v>
      </c>
      <c r="X131" s="2"/>
    </row>
    <row r="132" spans="1:24" x14ac:dyDescent="0.25">
      <c r="A132" s="15">
        <v>42552</v>
      </c>
      <c r="B132" s="15">
        <v>42566</v>
      </c>
      <c r="C132" s="15">
        <v>42579</v>
      </c>
      <c r="D132" s="13">
        <f t="shared" si="5"/>
        <v>865915.96500000008</v>
      </c>
      <c r="E132" s="13">
        <v>149274.91500000001</v>
      </c>
      <c r="F132" s="13">
        <v>102860.223</v>
      </c>
      <c r="G132" s="13">
        <v>448497.28499999997</v>
      </c>
      <c r="H132" s="13">
        <v>37273.21</v>
      </c>
      <c r="I132" s="13">
        <v>19400.971000000001</v>
      </c>
      <c r="J132" s="13">
        <v>8841.8320000000003</v>
      </c>
      <c r="K132" s="13">
        <v>77147.907999999996</v>
      </c>
      <c r="L132" s="13">
        <v>12894.26</v>
      </c>
      <c r="M132" s="13">
        <v>1797.7270000000001</v>
      </c>
      <c r="N132" s="13">
        <v>4248.0349999999999</v>
      </c>
      <c r="O132" s="13">
        <v>3648.7379999999998</v>
      </c>
      <c r="P132" s="13">
        <v>30.861000000000001</v>
      </c>
      <c r="X132" s="2"/>
    </row>
    <row r="133" spans="1:24" x14ac:dyDescent="0.25">
      <c r="A133" s="15">
        <v>42566</v>
      </c>
      <c r="B133" s="15">
        <v>42580</v>
      </c>
      <c r="C133" s="15">
        <v>42593</v>
      </c>
      <c r="D133" s="13">
        <f t="shared" si="5"/>
        <v>871838.652</v>
      </c>
      <c r="E133" s="13">
        <v>151910.28700000001</v>
      </c>
      <c r="F133" s="13">
        <v>107257.045</v>
      </c>
      <c r="G133" s="13">
        <v>445755.42599999998</v>
      </c>
      <c r="H133" s="13">
        <v>38206.677000000003</v>
      </c>
      <c r="I133" s="13">
        <v>20270.45</v>
      </c>
      <c r="J133" s="13">
        <v>9015.1839999999993</v>
      </c>
      <c r="K133" s="13">
        <v>77150.544999999998</v>
      </c>
      <c r="L133" s="13">
        <v>12557.091</v>
      </c>
      <c r="M133" s="13">
        <v>1797.7270000000001</v>
      </c>
      <c r="N133" s="13">
        <v>4248.0349999999999</v>
      </c>
      <c r="O133" s="13">
        <v>3647.8580000000002</v>
      </c>
      <c r="P133" s="13">
        <v>22.327000000000002</v>
      </c>
      <c r="X133" s="2"/>
    </row>
    <row r="134" spans="1:24" x14ac:dyDescent="0.25">
      <c r="A134" s="15">
        <v>42580</v>
      </c>
      <c r="B134" s="15">
        <v>42594</v>
      </c>
      <c r="C134" s="15">
        <v>42607</v>
      </c>
      <c r="D134" s="13">
        <f t="shared" si="5"/>
        <v>889478.4040000001</v>
      </c>
      <c r="E134" s="13">
        <v>152255.38099999999</v>
      </c>
      <c r="F134" s="13">
        <v>118032.163</v>
      </c>
      <c r="G134" s="13">
        <v>451814.80200000003</v>
      </c>
      <c r="H134" s="13">
        <v>37428.910000000003</v>
      </c>
      <c r="I134" s="13">
        <v>20241.603999999999</v>
      </c>
      <c r="J134" s="13">
        <v>8994.9429999999993</v>
      </c>
      <c r="K134" s="13">
        <v>78369.285000000003</v>
      </c>
      <c r="L134" s="13">
        <v>12527.602999999999</v>
      </c>
      <c r="M134" s="13">
        <v>1837.7270000000001</v>
      </c>
      <c r="N134" s="13">
        <v>4277.6009999999997</v>
      </c>
      <c r="O134" s="13">
        <v>3673.48</v>
      </c>
      <c r="P134" s="13">
        <v>24.905000000000001</v>
      </c>
      <c r="X134" s="2"/>
    </row>
    <row r="135" spans="1:24" x14ac:dyDescent="0.25">
      <c r="A135" s="15">
        <v>42594</v>
      </c>
      <c r="B135" s="15">
        <v>42608</v>
      </c>
      <c r="C135" s="15">
        <v>42621</v>
      </c>
      <c r="D135" s="13">
        <f t="shared" si="5"/>
        <v>900555.15300000005</v>
      </c>
      <c r="E135" s="13">
        <v>153405.356</v>
      </c>
      <c r="F135" s="13">
        <v>122597.40399999999</v>
      </c>
      <c r="G135" s="13">
        <v>456085.74200000003</v>
      </c>
      <c r="H135" s="13">
        <v>38778.449999999997</v>
      </c>
      <c r="I135" s="13">
        <v>20520.792000000001</v>
      </c>
      <c r="J135" s="13">
        <v>9075.3019999999997</v>
      </c>
      <c r="K135" s="13">
        <v>77703.438999999998</v>
      </c>
      <c r="L135" s="13">
        <v>12219.013999999999</v>
      </c>
      <c r="M135" s="13">
        <v>2052.7280000000001</v>
      </c>
      <c r="N135" s="13">
        <v>4426.5590000000002</v>
      </c>
      <c r="O135" s="13">
        <v>3667.634</v>
      </c>
      <c r="P135" s="13">
        <v>22.733000000000001</v>
      </c>
      <c r="X135" s="2"/>
    </row>
    <row r="136" spans="1:24" x14ac:dyDescent="0.25">
      <c r="A136" s="15">
        <v>42608</v>
      </c>
      <c r="B136" s="15">
        <v>42622</v>
      </c>
      <c r="C136" s="15">
        <v>42635</v>
      </c>
      <c r="D136" s="13">
        <f t="shared" si="5"/>
        <v>898938.76099999994</v>
      </c>
      <c r="E136" s="13">
        <v>156434.845</v>
      </c>
      <c r="F136" s="13">
        <v>108214.90300000001</v>
      </c>
      <c r="G136" s="13">
        <v>462785.41399999999</v>
      </c>
      <c r="H136" s="13">
        <v>42057.576999999997</v>
      </c>
      <c r="I136" s="13">
        <v>21886.273000000001</v>
      </c>
      <c r="J136" s="13">
        <v>9309.0490000000009</v>
      </c>
      <c r="K136" s="13">
        <v>76186.842999999993</v>
      </c>
      <c r="L136" s="13">
        <v>12049.585999999999</v>
      </c>
      <c r="M136" s="13">
        <v>1895.048</v>
      </c>
      <c r="N136" s="13">
        <v>4421.4160000000002</v>
      </c>
      <c r="O136" s="13">
        <v>3668.2809999999999</v>
      </c>
      <c r="P136" s="13">
        <v>29.526</v>
      </c>
      <c r="X136" s="2"/>
    </row>
    <row r="137" spans="1:24" x14ac:dyDescent="0.25">
      <c r="A137" s="15">
        <v>42622</v>
      </c>
      <c r="B137" s="15">
        <v>42636</v>
      </c>
      <c r="C137" s="15">
        <v>42649</v>
      </c>
      <c r="D137" s="13">
        <f t="shared" si="5"/>
        <v>911061.37300000014</v>
      </c>
      <c r="E137" s="13">
        <v>162557.397</v>
      </c>
      <c r="F137" s="13">
        <v>102944.73</v>
      </c>
      <c r="G137" s="13">
        <v>474383.91600000003</v>
      </c>
      <c r="H137" s="13">
        <v>41351.199000000001</v>
      </c>
      <c r="I137" s="13">
        <v>22269.839</v>
      </c>
      <c r="J137" s="13">
        <v>9401.92</v>
      </c>
      <c r="K137" s="13">
        <v>76530.425000000003</v>
      </c>
      <c r="L137" s="13">
        <v>11671.619000000001</v>
      </c>
      <c r="M137" s="13">
        <v>1865.048</v>
      </c>
      <c r="N137" s="13">
        <v>4416.201</v>
      </c>
      <c r="O137" s="13">
        <v>3637.4859999999999</v>
      </c>
      <c r="P137" s="13">
        <v>31.593</v>
      </c>
      <c r="X137" s="2"/>
    </row>
    <row r="138" spans="1:24" x14ac:dyDescent="0.25">
      <c r="A138" s="15">
        <v>42636</v>
      </c>
      <c r="B138" s="15">
        <v>42650</v>
      </c>
      <c r="C138" s="15">
        <v>42663</v>
      </c>
      <c r="D138" s="13">
        <f t="shared" si="5"/>
        <v>907915.02599999995</v>
      </c>
      <c r="E138" s="13">
        <v>148248.429</v>
      </c>
      <c r="F138" s="13">
        <v>116890.639</v>
      </c>
      <c r="G138" s="13">
        <v>471350.91499999998</v>
      </c>
      <c r="H138" s="13">
        <v>40927.010999999999</v>
      </c>
      <c r="I138" s="13">
        <v>22849.800999999999</v>
      </c>
      <c r="J138" s="13">
        <v>9443.66</v>
      </c>
      <c r="K138" s="13">
        <v>76877.607000000004</v>
      </c>
      <c r="L138" s="13">
        <v>11441.12</v>
      </c>
      <c r="M138" s="13">
        <v>1864.885</v>
      </c>
      <c r="N138" s="13">
        <v>4345.8270000000002</v>
      </c>
      <c r="O138" s="13">
        <v>3638.21</v>
      </c>
      <c r="P138" s="13">
        <v>36.921999999999997</v>
      </c>
      <c r="X138" s="2"/>
    </row>
    <row r="139" spans="1:24" x14ac:dyDescent="0.25">
      <c r="A139" s="15">
        <v>42650</v>
      </c>
      <c r="B139" s="15">
        <v>42664</v>
      </c>
      <c r="C139" s="15">
        <v>42677</v>
      </c>
      <c r="D139" s="13">
        <f t="shared" si="5"/>
        <v>921235.98000000021</v>
      </c>
      <c r="E139" s="13">
        <v>145750.946</v>
      </c>
      <c r="F139" s="13">
        <v>126894.444</v>
      </c>
      <c r="G139" s="13">
        <v>481445.63299999997</v>
      </c>
      <c r="H139" s="13">
        <v>38222.815999999999</v>
      </c>
      <c r="I139" s="13">
        <v>22129.755000000001</v>
      </c>
      <c r="J139" s="13">
        <v>9531.6260000000002</v>
      </c>
      <c r="K139" s="13">
        <v>76283.236000000004</v>
      </c>
      <c r="L139" s="13">
        <v>11146.040999999999</v>
      </c>
      <c r="M139" s="13">
        <v>1834.3040000000001</v>
      </c>
      <c r="N139" s="13">
        <v>4345.8339999999998</v>
      </c>
      <c r="O139" s="13">
        <v>3608.7240000000002</v>
      </c>
      <c r="P139" s="13">
        <v>42.621000000000002</v>
      </c>
      <c r="X139" s="2"/>
    </row>
    <row r="140" spans="1:24" x14ac:dyDescent="0.25">
      <c r="A140" s="15">
        <v>42664</v>
      </c>
      <c r="B140" s="15">
        <v>42678</v>
      </c>
      <c r="C140" s="15">
        <v>42691</v>
      </c>
      <c r="D140" s="13">
        <f t="shared" si="5"/>
        <v>930807.005</v>
      </c>
      <c r="E140" s="13">
        <v>152283.97700000001</v>
      </c>
      <c r="F140" s="13">
        <v>125895.11</v>
      </c>
      <c r="G140" s="13">
        <v>485147.17099999997</v>
      </c>
      <c r="H140" s="13">
        <v>38444.601999999999</v>
      </c>
      <c r="I140" s="13">
        <v>22215.309000000001</v>
      </c>
      <c r="J140" s="13">
        <v>9589.9599999999991</v>
      </c>
      <c r="K140" s="13">
        <v>76168.786999999997</v>
      </c>
      <c r="L140" s="13">
        <v>11153.191000000001</v>
      </c>
      <c r="M140" s="13">
        <v>1904.511</v>
      </c>
      <c r="N140" s="13">
        <v>4345.6570000000002</v>
      </c>
      <c r="O140" s="13">
        <v>3617.9250000000002</v>
      </c>
      <c r="P140" s="13">
        <v>40.805</v>
      </c>
      <c r="X140" s="2"/>
    </row>
    <row r="141" spans="1:24" x14ac:dyDescent="0.25">
      <c r="A141" s="15">
        <v>42678</v>
      </c>
      <c r="B141" s="15">
        <v>42692</v>
      </c>
      <c r="C141" s="15">
        <v>42705</v>
      </c>
      <c r="D141" s="13">
        <f t="shared" si="5"/>
        <v>931437.90700000024</v>
      </c>
      <c r="E141" s="13">
        <v>150125.28200000001</v>
      </c>
      <c r="F141" s="13">
        <v>131461.73499999999</v>
      </c>
      <c r="G141" s="13">
        <v>483471.97200000001</v>
      </c>
      <c r="H141" s="13">
        <v>39031.800000000003</v>
      </c>
      <c r="I141" s="13">
        <v>21264.581999999999</v>
      </c>
      <c r="J141" s="13">
        <v>9560.8359999999993</v>
      </c>
      <c r="K141" s="13">
        <v>75179.596000000005</v>
      </c>
      <c r="L141" s="13">
        <v>11299.286</v>
      </c>
      <c r="M141" s="13">
        <v>1840.38</v>
      </c>
      <c r="N141" s="13">
        <v>4334.7610000000004</v>
      </c>
      <c r="O141" s="13">
        <v>3807.11</v>
      </c>
      <c r="P141" s="13">
        <v>60.567</v>
      </c>
      <c r="X141" s="2"/>
    </row>
    <row r="142" spans="1:24" x14ac:dyDescent="0.25">
      <c r="A142" s="15">
        <v>42692</v>
      </c>
      <c r="B142" s="15">
        <v>42706</v>
      </c>
      <c r="C142" s="15">
        <v>42719</v>
      </c>
      <c r="D142" s="13">
        <f t="shared" si="5"/>
        <v>942263.13699999999</v>
      </c>
      <c r="E142" s="13">
        <v>163094.49400000001</v>
      </c>
      <c r="F142" s="13">
        <v>127315.893</v>
      </c>
      <c r="G142" s="13">
        <v>484593.152</v>
      </c>
      <c r="H142" s="13">
        <v>38256.942999999999</v>
      </c>
      <c r="I142" s="13">
        <v>22292.537</v>
      </c>
      <c r="J142" s="13">
        <v>9408.8160000000007</v>
      </c>
      <c r="K142" s="13">
        <v>75991.990000000005</v>
      </c>
      <c r="L142" s="13">
        <v>11266.966</v>
      </c>
      <c r="M142" s="13">
        <v>1840.3789999999999</v>
      </c>
      <c r="N142" s="13">
        <v>4334.375</v>
      </c>
      <c r="O142" s="13">
        <v>3807.817</v>
      </c>
      <c r="P142" s="13">
        <v>59.774999999999999</v>
      </c>
      <c r="X142" s="2"/>
    </row>
    <row r="143" spans="1:24" x14ac:dyDescent="0.25">
      <c r="A143" s="15">
        <v>42706</v>
      </c>
      <c r="B143" s="15">
        <v>42720</v>
      </c>
      <c r="C143" s="15">
        <v>42733</v>
      </c>
      <c r="D143" s="13">
        <f t="shared" si="5"/>
        <v>924948.34199999971</v>
      </c>
      <c r="E143" s="13">
        <v>151424.98199999999</v>
      </c>
      <c r="F143" s="13">
        <v>128825.651</v>
      </c>
      <c r="G143" s="13">
        <v>478004.71299999999</v>
      </c>
      <c r="H143" s="13">
        <v>35995.025999999998</v>
      </c>
      <c r="I143" s="13">
        <v>22301.222000000002</v>
      </c>
      <c r="J143" s="13">
        <v>9716.0640000000003</v>
      </c>
      <c r="K143" s="13">
        <v>77211.074999999997</v>
      </c>
      <c r="L143" s="13">
        <v>11132.72</v>
      </c>
      <c r="M143" s="13">
        <v>1900.5360000000001</v>
      </c>
      <c r="N143" s="13">
        <v>4570.1379999999999</v>
      </c>
      <c r="O143" s="13">
        <v>3803.6979999999999</v>
      </c>
      <c r="P143" s="13">
        <v>62.517000000000003</v>
      </c>
      <c r="X143" s="2"/>
    </row>
    <row r="144" spans="1:24" x14ac:dyDescent="0.25">
      <c r="A144" s="15">
        <v>42720</v>
      </c>
      <c r="B144" s="15">
        <v>42734</v>
      </c>
      <c r="C144" s="15">
        <v>42747</v>
      </c>
      <c r="D144" s="13">
        <f t="shared" si="5"/>
        <v>938774.61699999985</v>
      </c>
      <c r="E144" s="13">
        <v>166122.42199999999</v>
      </c>
      <c r="F144" s="13">
        <v>133692.842</v>
      </c>
      <c r="G144" s="13">
        <v>472703.80300000001</v>
      </c>
      <c r="H144" s="13">
        <v>34367.351999999999</v>
      </c>
      <c r="I144" s="13">
        <v>23676.403999999999</v>
      </c>
      <c r="J144" s="13">
        <v>9911.9629999999997</v>
      </c>
      <c r="K144" s="13">
        <v>77353.505999999994</v>
      </c>
      <c r="L144" s="13">
        <v>10642.938</v>
      </c>
      <c r="M144" s="13">
        <v>1876.7360000000001</v>
      </c>
      <c r="N144" s="13">
        <v>4555.0550000000003</v>
      </c>
      <c r="O144" s="13">
        <v>3795.2710000000002</v>
      </c>
      <c r="P144" s="13">
        <v>76.325000000000003</v>
      </c>
      <c r="X144" s="2"/>
    </row>
    <row r="145" spans="1:24" x14ac:dyDescent="0.25">
      <c r="A145" s="15">
        <v>42734</v>
      </c>
      <c r="B145" s="15">
        <v>42748</v>
      </c>
      <c r="C145" s="15">
        <v>42761</v>
      </c>
      <c r="D145" s="13">
        <f t="shared" si="5"/>
        <v>942528.78600000008</v>
      </c>
      <c r="E145" s="13">
        <v>169321.484</v>
      </c>
      <c r="F145" s="13">
        <v>128655.333</v>
      </c>
      <c r="G145" s="13">
        <v>478094.85100000002</v>
      </c>
      <c r="H145" s="13">
        <v>33496.906999999999</v>
      </c>
      <c r="I145" s="13">
        <v>24517.169000000002</v>
      </c>
      <c r="J145" s="13">
        <v>10305.132</v>
      </c>
      <c r="K145" s="13">
        <v>77473.062000000005</v>
      </c>
      <c r="L145" s="13">
        <v>10595.800999999999</v>
      </c>
      <c r="M145" s="13">
        <v>1829.5329999999999</v>
      </c>
      <c r="N145" s="13">
        <v>4374.8639999999996</v>
      </c>
      <c r="O145" s="13">
        <v>3799.1109999999999</v>
      </c>
      <c r="P145" s="13">
        <v>65.539000000000001</v>
      </c>
      <c r="X145" s="2"/>
    </row>
    <row r="146" spans="1:24" x14ac:dyDescent="0.25">
      <c r="A146" s="15">
        <v>42748</v>
      </c>
      <c r="B146" s="15">
        <v>42762</v>
      </c>
      <c r="C146" s="15">
        <v>42775</v>
      </c>
      <c r="D146" s="13">
        <f t="shared" si="5"/>
        <v>952134.37599999993</v>
      </c>
      <c r="E146" s="13">
        <v>165767.07399999999</v>
      </c>
      <c r="F146" s="13">
        <v>135175.74</v>
      </c>
      <c r="G146" s="13">
        <v>483541.33399999997</v>
      </c>
      <c r="H146" s="13">
        <v>33807.800999999999</v>
      </c>
      <c r="I146" s="13">
        <v>23980.800999999999</v>
      </c>
      <c r="J146" s="13">
        <v>10596.72</v>
      </c>
      <c r="K146" s="13">
        <v>79107.115000000005</v>
      </c>
      <c r="L146" s="13">
        <v>10166.968999999999</v>
      </c>
      <c r="M146" s="13">
        <v>1727.328</v>
      </c>
      <c r="N146" s="13">
        <v>4374.7470000000003</v>
      </c>
      <c r="O146" s="13">
        <v>3799.8890000000001</v>
      </c>
      <c r="P146" s="13">
        <v>88.858000000000004</v>
      </c>
      <c r="X146" s="2"/>
    </row>
    <row r="147" spans="1:24" x14ac:dyDescent="0.25">
      <c r="A147" s="15">
        <v>42762</v>
      </c>
      <c r="B147" s="15">
        <v>42776</v>
      </c>
      <c r="C147" s="15">
        <v>42789</v>
      </c>
      <c r="D147" s="13">
        <f t="shared" si="5"/>
        <v>950537.7</v>
      </c>
      <c r="E147" s="13">
        <v>172558.41899999999</v>
      </c>
      <c r="F147" s="13">
        <v>126793.436</v>
      </c>
      <c r="G147" s="13">
        <v>483250.56699999998</v>
      </c>
      <c r="H147" s="13">
        <v>33650.866999999998</v>
      </c>
      <c r="I147" s="13">
        <v>24425.766</v>
      </c>
      <c r="J147" s="13">
        <v>10993.767</v>
      </c>
      <c r="K147" s="13">
        <v>79108.528000000006</v>
      </c>
      <c r="L147" s="13">
        <v>9938.9869999999992</v>
      </c>
      <c r="M147" s="13">
        <v>1564.742</v>
      </c>
      <c r="N147" s="13">
        <v>4374.1840000000002</v>
      </c>
      <c r="O147" s="13">
        <v>3800.7260000000001</v>
      </c>
      <c r="P147" s="13">
        <v>77.710999999999999</v>
      </c>
      <c r="X147" s="2"/>
    </row>
    <row r="148" spans="1:24" x14ac:dyDescent="0.25">
      <c r="A148" s="15">
        <v>42776</v>
      </c>
      <c r="B148" s="15">
        <v>42790</v>
      </c>
      <c r="C148" s="15">
        <v>42803</v>
      </c>
      <c r="D148" s="13">
        <f t="shared" si="5"/>
        <v>920361.61300000024</v>
      </c>
      <c r="E148" s="13">
        <v>155333.66899999999</v>
      </c>
      <c r="F148" s="13">
        <v>125714.145</v>
      </c>
      <c r="G148" s="13">
        <v>472465.98300000001</v>
      </c>
      <c r="H148" s="13">
        <v>33401.697</v>
      </c>
      <c r="I148" s="13">
        <v>24212.245999999999</v>
      </c>
      <c r="J148" s="13">
        <v>11048.465</v>
      </c>
      <c r="K148" s="13">
        <v>78205.364000000001</v>
      </c>
      <c r="L148" s="13">
        <v>9747.4869999999992</v>
      </c>
      <c r="M148" s="13">
        <v>1966.4690000000001</v>
      </c>
      <c r="N148" s="13">
        <v>4403.0990000000002</v>
      </c>
      <c r="O148" s="13">
        <v>3801.498</v>
      </c>
      <c r="P148" s="13">
        <v>61.491</v>
      </c>
      <c r="X148" s="2"/>
    </row>
    <row r="149" spans="1:24" x14ac:dyDescent="0.25">
      <c r="A149" s="15">
        <v>42790</v>
      </c>
      <c r="B149" s="15">
        <v>42804</v>
      </c>
      <c r="C149" s="15">
        <v>42817</v>
      </c>
      <c r="D149" s="13">
        <f t="shared" si="5"/>
        <v>919284.29</v>
      </c>
      <c r="E149" s="13">
        <v>161645.49900000001</v>
      </c>
      <c r="F149" s="13">
        <v>127392.80899999999</v>
      </c>
      <c r="G149" s="13">
        <v>463946.24300000002</v>
      </c>
      <c r="H149" s="13">
        <v>33122.972999999998</v>
      </c>
      <c r="I149" s="13">
        <v>24459.05</v>
      </c>
      <c r="J149" s="13">
        <v>11179.200999999999</v>
      </c>
      <c r="K149" s="13">
        <v>77443.173999999999</v>
      </c>
      <c r="L149" s="13">
        <v>9827.2880000000005</v>
      </c>
      <c r="M149" s="13">
        <v>2016.4690000000001</v>
      </c>
      <c r="N149" s="13">
        <v>4402.4269999999997</v>
      </c>
      <c r="O149" s="13">
        <v>3802.3229999999999</v>
      </c>
      <c r="P149" s="13">
        <v>46.834000000000003</v>
      </c>
      <c r="X149" s="2"/>
    </row>
    <row r="150" spans="1:24" x14ac:dyDescent="0.25">
      <c r="A150" s="15">
        <v>42804</v>
      </c>
      <c r="B150" s="15">
        <v>42818</v>
      </c>
      <c r="C150" s="15">
        <v>42831</v>
      </c>
      <c r="D150" s="13">
        <f t="shared" si="5"/>
        <v>925144.86400000006</v>
      </c>
      <c r="E150" s="13">
        <v>162008.39300000001</v>
      </c>
      <c r="F150" s="13">
        <v>132678.17000000001</v>
      </c>
      <c r="G150" s="13">
        <v>465598.717</v>
      </c>
      <c r="H150" s="13">
        <v>32706.888999999999</v>
      </c>
      <c r="I150" s="13">
        <v>23822.449000000001</v>
      </c>
      <c r="J150" s="13">
        <v>11261.455</v>
      </c>
      <c r="K150" s="13">
        <v>77227.788</v>
      </c>
      <c r="L150" s="13">
        <v>9615.8410000000003</v>
      </c>
      <c r="M150" s="13">
        <v>1965.9690000000001</v>
      </c>
      <c r="N150" s="13">
        <v>4393.835</v>
      </c>
      <c r="O150" s="13">
        <v>3803.0320000000002</v>
      </c>
      <c r="P150" s="13">
        <v>62.326000000000001</v>
      </c>
      <c r="X150" s="2"/>
    </row>
    <row r="151" spans="1:24" x14ac:dyDescent="0.25">
      <c r="A151" s="15">
        <v>42818</v>
      </c>
      <c r="B151" s="15">
        <v>42832</v>
      </c>
      <c r="C151" s="15">
        <v>42845</v>
      </c>
      <c r="D151" s="13">
        <f t="shared" si="5"/>
        <v>934147.51599999983</v>
      </c>
      <c r="E151" s="13">
        <v>169984.856</v>
      </c>
      <c r="F151" s="13">
        <v>129047.636</v>
      </c>
      <c r="G151" s="13">
        <v>467260.99</v>
      </c>
      <c r="H151" s="13">
        <v>32715.462</v>
      </c>
      <c r="I151" s="13">
        <v>25061.278999999999</v>
      </c>
      <c r="J151" s="13">
        <v>11318.949000000001</v>
      </c>
      <c r="K151" s="13">
        <v>78645.881999999998</v>
      </c>
      <c r="L151" s="13">
        <v>9693.2749999999996</v>
      </c>
      <c r="M151" s="13">
        <v>2515.806</v>
      </c>
      <c r="N151" s="13">
        <v>4033.0459999999998</v>
      </c>
      <c r="O151" s="13">
        <v>3789.7820000000002</v>
      </c>
      <c r="P151" s="13">
        <v>80.552999999999997</v>
      </c>
      <c r="X151" s="2"/>
    </row>
    <row r="152" spans="1:24" x14ac:dyDescent="0.25">
      <c r="A152" s="15">
        <v>42832</v>
      </c>
      <c r="B152" s="15">
        <v>42846</v>
      </c>
      <c r="C152" s="15">
        <v>42859</v>
      </c>
      <c r="D152" s="13">
        <f t="shared" si="5"/>
        <v>946578.65199999989</v>
      </c>
      <c r="E152" s="13">
        <v>172382.147</v>
      </c>
      <c r="F152" s="13">
        <v>137619.796</v>
      </c>
      <c r="G152" s="13">
        <v>468036.54399999999</v>
      </c>
      <c r="H152" s="13">
        <v>32722.656999999999</v>
      </c>
      <c r="I152" s="13">
        <v>25454.95</v>
      </c>
      <c r="J152" s="13">
        <v>11413.601999999999</v>
      </c>
      <c r="K152" s="13">
        <v>78355.157999999996</v>
      </c>
      <c r="L152" s="13">
        <v>9748.4580000000005</v>
      </c>
      <c r="M152" s="13">
        <v>2550.558</v>
      </c>
      <c r="N152" s="13">
        <v>4068.1280000000002</v>
      </c>
      <c r="O152" s="13">
        <v>4164.8540000000003</v>
      </c>
      <c r="P152" s="13">
        <v>61.8</v>
      </c>
      <c r="X152" s="2"/>
    </row>
    <row r="153" spans="1:24" x14ac:dyDescent="0.25">
      <c r="A153" s="15">
        <v>42846</v>
      </c>
      <c r="B153" s="15">
        <v>42860</v>
      </c>
      <c r="C153" s="15">
        <v>42876</v>
      </c>
      <c r="D153" s="13">
        <f t="shared" si="5"/>
        <v>958738.43700000003</v>
      </c>
      <c r="E153" s="13">
        <v>180296.30300000001</v>
      </c>
      <c r="F153" s="13">
        <v>134604.84899999999</v>
      </c>
      <c r="G153" s="13">
        <v>471684.66899999999</v>
      </c>
      <c r="H153" s="13">
        <v>33151.794000000002</v>
      </c>
      <c r="I153" s="13">
        <v>26903.868999999999</v>
      </c>
      <c r="J153" s="13">
        <v>11582.957</v>
      </c>
      <c r="K153" s="13">
        <v>80115.626000000004</v>
      </c>
      <c r="L153" s="13">
        <v>9470.2139999999999</v>
      </c>
      <c r="M153" s="13">
        <v>2550.183</v>
      </c>
      <c r="N153" s="13">
        <v>4156.5469999999996</v>
      </c>
      <c r="O153" s="13">
        <v>4165.7529999999997</v>
      </c>
      <c r="P153" s="13">
        <v>55.673000000000002</v>
      </c>
      <c r="X153" s="2"/>
    </row>
    <row r="154" spans="1:24" x14ac:dyDescent="0.25">
      <c r="A154" s="15">
        <v>42860</v>
      </c>
      <c r="B154" s="15">
        <v>42877</v>
      </c>
      <c r="C154" s="15">
        <v>42887</v>
      </c>
      <c r="D154" s="13">
        <f t="shared" si="5"/>
        <v>947227.99100000004</v>
      </c>
      <c r="E154" s="13">
        <v>168100.883</v>
      </c>
      <c r="F154" s="13">
        <v>130065.06299999999</v>
      </c>
      <c r="G154" s="13">
        <v>473698.109</v>
      </c>
      <c r="H154" s="13">
        <v>35504.546000000002</v>
      </c>
      <c r="I154" s="13">
        <v>26828.583999999999</v>
      </c>
      <c r="J154" s="13">
        <v>11916.415000000001</v>
      </c>
      <c r="K154" s="13">
        <v>80729.179999999993</v>
      </c>
      <c r="L154" s="13">
        <v>9451.9380000000001</v>
      </c>
      <c r="M154" s="13">
        <v>2550.183</v>
      </c>
      <c r="N154" s="13">
        <v>4125.4809999999998</v>
      </c>
      <c r="O154" s="13">
        <v>4166.9369999999999</v>
      </c>
      <c r="P154" s="13">
        <v>90.671999999999997</v>
      </c>
      <c r="X154" s="2"/>
    </row>
    <row r="155" spans="1:24" x14ac:dyDescent="0.25">
      <c r="A155" s="15">
        <v>42873</v>
      </c>
      <c r="B155" s="15">
        <v>42888</v>
      </c>
      <c r="C155" s="15">
        <v>42901</v>
      </c>
      <c r="D155" s="13">
        <f t="shared" si="5"/>
        <v>979140.59899999993</v>
      </c>
      <c r="E155" s="13">
        <v>187141.61</v>
      </c>
      <c r="F155" s="13">
        <v>124330.618</v>
      </c>
      <c r="G155" s="13">
        <v>488422.47</v>
      </c>
      <c r="H155" s="13">
        <v>37764.391000000003</v>
      </c>
      <c r="I155" s="13">
        <v>28142.887999999999</v>
      </c>
      <c r="J155" s="13">
        <v>11995.916999999999</v>
      </c>
      <c r="K155" s="13">
        <v>81111.205000000002</v>
      </c>
      <c r="L155" s="13">
        <v>9623.8880000000008</v>
      </c>
      <c r="M155" s="13">
        <v>2230.183</v>
      </c>
      <c r="N155" s="13">
        <v>4124.4110000000001</v>
      </c>
      <c r="O155" s="13">
        <v>4168.5389999999998</v>
      </c>
      <c r="P155" s="13">
        <v>84.478999999999999</v>
      </c>
      <c r="X155" s="2"/>
    </row>
    <row r="156" spans="1:24" x14ac:dyDescent="0.25">
      <c r="A156" s="15">
        <v>42888</v>
      </c>
      <c r="B156" s="15">
        <v>42902</v>
      </c>
      <c r="C156" s="15">
        <v>42915</v>
      </c>
      <c r="D156" s="13">
        <f t="shared" si="5"/>
        <v>963501.7350000001</v>
      </c>
      <c r="E156" s="13">
        <v>166913.20300000001</v>
      </c>
      <c r="F156" s="13">
        <v>123876.827</v>
      </c>
      <c r="G156" s="13">
        <v>492654.158</v>
      </c>
      <c r="H156" s="13">
        <v>38074.506000000001</v>
      </c>
      <c r="I156" s="13">
        <v>28912.458999999999</v>
      </c>
      <c r="J156" s="13">
        <v>12153.652</v>
      </c>
      <c r="K156" s="13">
        <v>80952.553</v>
      </c>
      <c r="L156" s="13">
        <v>9941.2099999999991</v>
      </c>
      <c r="M156" s="13">
        <v>2226.0949999999998</v>
      </c>
      <c r="N156" s="13">
        <v>3524.23</v>
      </c>
      <c r="O156" s="13">
        <v>4225.9570000000003</v>
      </c>
      <c r="P156" s="13">
        <v>46.884999999999998</v>
      </c>
      <c r="X156" s="2"/>
    </row>
    <row r="157" spans="1:24" x14ac:dyDescent="0.25">
      <c r="A157" s="15">
        <v>42902</v>
      </c>
      <c r="B157" s="15">
        <v>42916</v>
      </c>
      <c r="C157" s="15">
        <v>42929</v>
      </c>
      <c r="D157" s="13">
        <f t="shared" si="5"/>
        <v>983332.7350000001</v>
      </c>
      <c r="E157" s="13">
        <v>182754.375</v>
      </c>
      <c r="F157" s="13">
        <v>125775.739</v>
      </c>
      <c r="G157" s="13">
        <v>492474.16100000002</v>
      </c>
      <c r="H157" s="13">
        <v>40538.248</v>
      </c>
      <c r="I157" s="13">
        <v>30129.68</v>
      </c>
      <c r="J157" s="13">
        <v>12225.388000000001</v>
      </c>
      <c r="K157" s="13">
        <v>78923.231</v>
      </c>
      <c r="L157" s="13">
        <v>9898.3649999999998</v>
      </c>
      <c r="M157" s="13">
        <v>2200.933</v>
      </c>
      <c r="N157" s="13">
        <v>4150.2640000000001</v>
      </c>
      <c r="O157" s="13">
        <v>4219.6760000000004</v>
      </c>
      <c r="P157" s="13">
        <v>42.674999999999997</v>
      </c>
      <c r="X157" s="2"/>
    </row>
    <row r="158" spans="1:24" x14ac:dyDescent="0.25">
      <c r="A158" s="15">
        <v>42916</v>
      </c>
      <c r="B158" s="15">
        <v>42930</v>
      </c>
      <c r="C158" s="15">
        <v>42943</v>
      </c>
      <c r="D158" s="13">
        <f t="shared" si="5"/>
        <v>984310.50499999977</v>
      </c>
      <c r="E158" s="13">
        <v>178001.32699999999</v>
      </c>
      <c r="F158" s="13">
        <v>124960.70600000001</v>
      </c>
      <c r="G158" s="13">
        <v>495134.103</v>
      </c>
      <c r="H158" s="13">
        <v>41758.807999999997</v>
      </c>
      <c r="I158" s="13">
        <v>30348.539000000001</v>
      </c>
      <c r="J158" s="13">
        <v>12256.619000000001</v>
      </c>
      <c r="K158" s="13">
        <v>80884.379000000001</v>
      </c>
      <c r="L158" s="13">
        <v>9914.8029999999999</v>
      </c>
      <c r="M158" s="13">
        <v>2125.7280000000001</v>
      </c>
      <c r="N158" s="13">
        <v>4136.8270000000002</v>
      </c>
      <c r="O158" s="13">
        <v>4749.3620000000001</v>
      </c>
      <c r="P158" s="13">
        <v>39.304000000000002</v>
      </c>
      <c r="X158" s="2"/>
    </row>
    <row r="159" spans="1:24" x14ac:dyDescent="0.25">
      <c r="A159" s="15">
        <v>42930</v>
      </c>
      <c r="B159" s="15">
        <v>42944</v>
      </c>
      <c r="C159" s="15">
        <v>42957</v>
      </c>
      <c r="D159" s="13">
        <f t="shared" si="5"/>
        <v>1010142.1009999999</v>
      </c>
      <c r="E159" s="13">
        <v>184206.579</v>
      </c>
      <c r="F159" s="13">
        <v>133550.05100000001</v>
      </c>
      <c r="G159" s="13">
        <v>508304.45799999998</v>
      </c>
      <c r="H159" s="13">
        <v>41665.936999999998</v>
      </c>
      <c r="I159" s="13">
        <v>29896.795999999998</v>
      </c>
      <c r="J159" s="13">
        <v>12270.495000000001</v>
      </c>
      <c r="K159" s="13">
        <v>79104.232999999993</v>
      </c>
      <c r="L159" s="13">
        <v>10104.549000000001</v>
      </c>
      <c r="M159" s="13">
        <v>2125.5219999999999</v>
      </c>
      <c r="N159" s="13">
        <v>4136.71</v>
      </c>
      <c r="O159" s="13">
        <v>4736.5749999999998</v>
      </c>
      <c r="P159" s="13">
        <v>40.195999999999998</v>
      </c>
      <c r="X159" s="2"/>
    </row>
    <row r="160" spans="1:24" x14ac:dyDescent="0.25">
      <c r="A160" s="15">
        <v>42944</v>
      </c>
      <c r="B160" s="15">
        <v>42958</v>
      </c>
      <c r="C160" s="15">
        <v>42971</v>
      </c>
      <c r="D160" s="13">
        <f t="shared" si="5"/>
        <v>1005604.03</v>
      </c>
      <c r="E160" s="13">
        <v>179902.67600000001</v>
      </c>
      <c r="F160" s="13">
        <v>122624.751</v>
      </c>
      <c r="G160" s="13">
        <v>515058.84499999997</v>
      </c>
      <c r="H160" s="13">
        <v>42240.180999999997</v>
      </c>
      <c r="I160" s="13">
        <v>30060.753000000001</v>
      </c>
      <c r="J160" s="13">
        <v>12178.191000000001</v>
      </c>
      <c r="K160" s="13">
        <v>81326.377999999997</v>
      </c>
      <c r="L160" s="13">
        <v>10289.977999999999</v>
      </c>
      <c r="M160" s="13">
        <v>2095.1469999999999</v>
      </c>
      <c r="N160" s="13">
        <v>4376.4660000000003</v>
      </c>
      <c r="O160" s="13">
        <v>5387.3440000000001</v>
      </c>
      <c r="P160" s="13">
        <v>63.32</v>
      </c>
      <c r="X160" s="2"/>
    </row>
    <row r="161" spans="1:24" x14ac:dyDescent="0.25">
      <c r="A161" s="15">
        <v>42958</v>
      </c>
      <c r="B161" s="15">
        <v>42972</v>
      </c>
      <c r="C161" s="15">
        <v>42985</v>
      </c>
      <c r="D161" s="13">
        <f t="shared" si="5"/>
        <v>1023951.201</v>
      </c>
      <c r="E161" s="13">
        <v>185779.231</v>
      </c>
      <c r="F161" s="13">
        <v>129407.076</v>
      </c>
      <c r="G161" s="13">
        <v>521878.614</v>
      </c>
      <c r="H161" s="13">
        <v>42514.737000000001</v>
      </c>
      <c r="I161" s="13">
        <v>29549.972000000002</v>
      </c>
      <c r="J161" s="13">
        <v>12329.46</v>
      </c>
      <c r="K161" s="13">
        <v>80426.414999999994</v>
      </c>
      <c r="L161" s="13">
        <v>10068.475</v>
      </c>
      <c r="M161" s="13">
        <v>2170.1469999999999</v>
      </c>
      <c r="N161" s="13">
        <v>4377.5640000000003</v>
      </c>
      <c r="O161" s="13">
        <v>5388.2610000000004</v>
      </c>
      <c r="P161" s="13">
        <v>61.249000000000002</v>
      </c>
      <c r="X161" s="2"/>
    </row>
    <row r="162" spans="1:24" x14ac:dyDescent="0.25">
      <c r="A162" s="15">
        <v>42972</v>
      </c>
      <c r="B162" s="15">
        <v>42986</v>
      </c>
      <c r="C162" s="15">
        <v>42999</v>
      </c>
      <c r="D162" s="13">
        <f t="shared" si="5"/>
        <v>1022074.724</v>
      </c>
      <c r="E162" s="13">
        <v>192645.177</v>
      </c>
      <c r="F162" s="13">
        <v>122375.74800000001</v>
      </c>
      <c r="G162" s="13">
        <v>518902.53</v>
      </c>
      <c r="H162" s="13">
        <v>41104.678999999996</v>
      </c>
      <c r="I162" s="13">
        <v>29731.553</v>
      </c>
      <c r="J162" s="13">
        <v>12278.031000000001</v>
      </c>
      <c r="K162" s="13">
        <v>82405.983999999997</v>
      </c>
      <c r="L162" s="13">
        <v>10318.59</v>
      </c>
      <c r="M162" s="13">
        <v>2156.1469999999999</v>
      </c>
      <c r="N162" s="13">
        <v>4402.0169999999998</v>
      </c>
      <c r="O162" s="13">
        <v>5709.6090000000004</v>
      </c>
      <c r="P162" s="13">
        <v>44.658999999999999</v>
      </c>
      <c r="X162" s="2"/>
    </row>
    <row r="163" spans="1:24" x14ac:dyDescent="0.25">
      <c r="A163" s="15">
        <v>42986</v>
      </c>
      <c r="B163" s="15">
        <v>43000</v>
      </c>
      <c r="C163" s="15">
        <v>43013</v>
      </c>
      <c r="D163" s="13">
        <f t="shared" si="5"/>
        <v>1004214.4419999998</v>
      </c>
      <c r="E163" s="13">
        <v>169943.88699999999</v>
      </c>
      <c r="F163" s="13">
        <v>127150.723</v>
      </c>
      <c r="G163" s="13">
        <v>518918.06</v>
      </c>
      <c r="H163" s="13">
        <v>41002.546999999999</v>
      </c>
      <c r="I163" s="13">
        <v>29866.079000000002</v>
      </c>
      <c r="J163" s="13">
        <v>12876.781000000001</v>
      </c>
      <c r="K163" s="13">
        <v>82701.118000000002</v>
      </c>
      <c r="L163" s="13">
        <v>9466.7710000000006</v>
      </c>
      <c r="M163" s="13">
        <v>2155.6469999999999</v>
      </c>
      <c r="N163" s="13">
        <v>4374.72</v>
      </c>
      <c r="O163" s="13">
        <v>5710.5069999999996</v>
      </c>
      <c r="P163" s="13">
        <v>47.601999999999997</v>
      </c>
      <c r="X163" s="2"/>
    </row>
    <row r="164" spans="1:24" x14ac:dyDescent="0.25">
      <c r="A164" s="15">
        <v>43000</v>
      </c>
      <c r="B164" s="15">
        <v>43014</v>
      </c>
      <c r="C164" s="15">
        <v>43027</v>
      </c>
      <c r="D164" s="13">
        <f t="shared" si="5"/>
        <v>1023792.963</v>
      </c>
      <c r="E164" s="13">
        <v>181109.18599999999</v>
      </c>
      <c r="F164" s="13">
        <v>128486.04300000001</v>
      </c>
      <c r="G164" s="13">
        <v>524728.44900000002</v>
      </c>
      <c r="H164" s="13">
        <v>38595.921000000002</v>
      </c>
      <c r="I164" s="13">
        <v>31091.600999999999</v>
      </c>
      <c r="J164" s="13">
        <v>12932.753000000001</v>
      </c>
      <c r="K164" s="13">
        <v>84953.634000000005</v>
      </c>
      <c r="L164" s="13">
        <v>9648.4240000000009</v>
      </c>
      <c r="M164" s="13">
        <v>2155.6469999999999</v>
      </c>
      <c r="N164" s="13">
        <v>4375.3149999999996</v>
      </c>
      <c r="O164" s="13">
        <v>5672.808</v>
      </c>
      <c r="P164" s="13">
        <v>43.182000000000002</v>
      </c>
      <c r="X164" s="2"/>
    </row>
    <row r="165" spans="1:24" x14ac:dyDescent="0.25">
      <c r="A165" s="15">
        <v>43014</v>
      </c>
      <c r="B165" s="15">
        <v>43028</v>
      </c>
      <c r="C165" s="15">
        <v>43041</v>
      </c>
      <c r="D165" s="13">
        <f t="shared" si="5"/>
        <v>1030466.9439999999</v>
      </c>
      <c r="E165" s="13">
        <v>176541.552</v>
      </c>
      <c r="F165" s="13">
        <v>132596.40400000001</v>
      </c>
      <c r="G165" s="13">
        <v>531308.88300000003</v>
      </c>
      <c r="H165" s="13">
        <v>38190.552000000003</v>
      </c>
      <c r="I165" s="13">
        <v>30616.098000000002</v>
      </c>
      <c r="J165" s="13">
        <v>12981.525999999998</v>
      </c>
      <c r="K165" s="13">
        <v>86583.15</v>
      </c>
      <c r="L165" s="13">
        <v>9339.9159999999993</v>
      </c>
      <c r="M165" s="13">
        <v>2157.2869999999998</v>
      </c>
      <c r="N165" s="13">
        <v>4395.07</v>
      </c>
      <c r="O165" s="13">
        <v>5705.8890000000001</v>
      </c>
      <c r="P165" s="13">
        <v>50.616999999999997</v>
      </c>
      <c r="X165" s="2"/>
    </row>
    <row r="166" spans="1:24" x14ac:dyDescent="0.25">
      <c r="A166" s="15">
        <v>43028</v>
      </c>
      <c r="B166" s="15">
        <v>43042</v>
      </c>
      <c r="C166" s="15">
        <v>43055</v>
      </c>
      <c r="D166" s="13">
        <f t="shared" si="5"/>
        <v>1054028.0929999999</v>
      </c>
      <c r="E166" s="13">
        <v>187103.14600000001</v>
      </c>
      <c r="F166" s="13">
        <v>139255.321</v>
      </c>
      <c r="G166" s="13">
        <v>533317.29399999999</v>
      </c>
      <c r="H166" s="13">
        <v>37814.798000000003</v>
      </c>
      <c r="I166" s="13">
        <v>30649.521000000001</v>
      </c>
      <c r="J166" s="13">
        <v>12926.018</v>
      </c>
      <c r="K166" s="13">
        <v>87862.903000000006</v>
      </c>
      <c r="L166" s="13">
        <v>9489.1769999999997</v>
      </c>
      <c r="M166" s="13">
        <v>2136.931</v>
      </c>
      <c r="N166" s="13">
        <v>4480.8909999999996</v>
      </c>
      <c r="O166" s="13">
        <v>8940.0149999999994</v>
      </c>
      <c r="P166" s="13">
        <v>52.078000000000003</v>
      </c>
      <c r="X166" s="2"/>
    </row>
    <row r="167" spans="1:24" x14ac:dyDescent="0.25">
      <c r="A167" s="15">
        <v>43042</v>
      </c>
      <c r="B167" s="15">
        <v>43056</v>
      </c>
      <c r="C167" s="15">
        <v>43069</v>
      </c>
      <c r="D167" s="13">
        <f t="shared" si="5"/>
        <v>1069885.9939999999</v>
      </c>
      <c r="E167" s="13">
        <v>186677.37899999999</v>
      </c>
      <c r="F167" s="13">
        <v>153173.745</v>
      </c>
      <c r="G167" s="13">
        <v>537291.598</v>
      </c>
      <c r="H167" s="13">
        <v>37630.553</v>
      </c>
      <c r="I167" s="13">
        <v>30229.606</v>
      </c>
      <c r="J167" s="13">
        <v>13044.370999999999</v>
      </c>
      <c r="K167" s="13">
        <v>86388.114000000001</v>
      </c>
      <c r="L167" s="13">
        <v>9700.8140000000003</v>
      </c>
      <c r="M167" s="13">
        <v>2126.7060000000001</v>
      </c>
      <c r="N167" s="13">
        <v>4616.8549999999996</v>
      </c>
      <c r="O167" s="13">
        <v>8941.0740000000005</v>
      </c>
      <c r="P167" s="13">
        <v>65.179000000000002</v>
      </c>
      <c r="X167" s="2"/>
    </row>
    <row r="168" spans="1:24" x14ac:dyDescent="0.25">
      <c r="A168" s="15">
        <v>43056</v>
      </c>
      <c r="B168" s="15">
        <v>43070</v>
      </c>
      <c r="C168" s="15">
        <v>43083</v>
      </c>
      <c r="D168" s="13">
        <f t="shared" si="5"/>
        <v>1082570.679</v>
      </c>
      <c r="E168" s="13">
        <v>198852.19899999999</v>
      </c>
      <c r="F168" s="13">
        <v>150623.16</v>
      </c>
      <c r="G168" s="13">
        <v>538510.21</v>
      </c>
      <c r="H168" s="13">
        <v>35984.771999999997</v>
      </c>
      <c r="I168" s="13">
        <v>31593.937999999998</v>
      </c>
      <c r="J168" s="13">
        <v>13191.72</v>
      </c>
      <c r="K168" s="13">
        <v>88719.978000000003</v>
      </c>
      <c r="L168" s="13">
        <v>9688.6370000000006</v>
      </c>
      <c r="M168" s="13">
        <v>2015.4369999999999</v>
      </c>
      <c r="N168" s="13">
        <v>4611.2870000000003</v>
      </c>
      <c r="O168" s="13">
        <v>8642.3009999999995</v>
      </c>
      <c r="P168" s="13">
        <v>137.04</v>
      </c>
      <c r="X168" s="2"/>
    </row>
    <row r="169" spans="1:24" x14ac:dyDescent="0.25">
      <c r="A169" s="15">
        <v>43070</v>
      </c>
      <c r="B169" s="15">
        <v>43084</v>
      </c>
      <c r="C169" s="15">
        <v>43097</v>
      </c>
      <c r="D169" s="13">
        <f t="shared" si="5"/>
        <v>1062263.4260000002</v>
      </c>
      <c r="E169" s="13">
        <v>183741.10699999999</v>
      </c>
      <c r="F169" s="13">
        <v>145295.27499999999</v>
      </c>
      <c r="G169" s="13">
        <v>538942.402</v>
      </c>
      <c r="H169" s="13">
        <v>35522.016000000003</v>
      </c>
      <c r="I169" s="13">
        <v>30223.953000000001</v>
      </c>
      <c r="J169" s="13">
        <v>13809.242</v>
      </c>
      <c r="K169" s="13">
        <v>89909.892999999996</v>
      </c>
      <c r="L169" s="13">
        <v>9468.2999999999993</v>
      </c>
      <c r="M169" s="13">
        <v>1995.6</v>
      </c>
      <c r="N169" s="13">
        <v>4604.232</v>
      </c>
      <c r="O169" s="13">
        <v>8643.4220000000005</v>
      </c>
      <c r="P169" s="13">
        <v>107.98399999999999</v>
      </c>
      <c r="X169" s="2"/>
    </row>
    <row r="170" spans="1:24" x14ac:dyDescent="0.25">
      <c r="A170" s="15">
        <v>43084</v>
      </c>
      <c r="B170" s="15">
        <v>43098</v>
      </c>
      <c r="C170" s="15">
        <v>43111</v>
      </c>
      <c r="D170" s="13">
        <f t="shared" si="5"/>
        <v>1077877.6810000001</v>
      </c>
      <c r="E170" s="13">
        <v>193723.47500000001</v>
      </c>
      <c r="F170" s="13">
        <v>149588.36900000001</v>
      </c>
      <c r="G170" s="13">
        <v>535275.80599999998</v>
      </c>
      <c r="H170" s="13">
        <v>34962.508000000002</v>
      </c>
      <c r="I170" s="13">
        <v>29880.755000000001</v>
      </c>
      <c r="J170" s="13">
        <v>13945.312</v>
      </c>
      <c r="K170" s="13">
        <v>93959.99</v>
      </c>
      <c r="L170" s="13">
        <v>9740.4989999999998</v>
      </c>
      <c r="M170" s="13">
        <v>1995.4369999999999</v>
      </c>
      <c r="N170" s="13">
        <v>4693.9309999999996</v>
      </c>
      <c r="O170" s="13">
        <v>10068.888999999999</v>
      </c>
      <c r="P170" s="13">
        <v>42.71</v>
      </c>
      <c r="X170" s="2"/>
    </row>
    <row r="171" spans="1:24" x14ac:dyDescent="0.25">
      <c r="A171" s="15">
        <v>43098</v>
      </c>
      <c r="B171" s="15">
        <v>43112</v>
      </c>
      <c r="C171" s="15">
        <v>43125</v>
      </c>
      <c r="D171" s="13">
        <f t="shared" si="5"/>
        <v>1073745.6669999999</v>
      </c>
      <c r="E171" s="13">
        <v>192117.372</v>
      </c>
      <c r="F171" s="13">
        <v>142095.785</v>
      </c>
      <c r="G171" s="13">
        <v>539491.424</v>
      </c>
      <c r="H171" s="13">
        <v>36872.909</v>
      </c>
      <c r="I171" s="13">
        <v>29453.915000000001</v>
      </c>
      <c r="J171" s="13">
        <v>13604.402</v>
      </c>
      <c r="K171" s="13">
        <v>93524.945000000007</v>
      </c>
      <c r="L171" s="13">
        <v>9646.9030000000002</v>
      </c>
      <c r="M171" s="13">
        <v>1956.951</v>
      </c>
      <c r="N171" s="13">
        <v>4878.1949999999997</v>
      </c>
      <c r="O171" s="13">
        <v>10062.815000000001</v>
      </c>
      <c r="P171" s="13">
        <v>40.051000000000002</v>
      </c>
      <c r="X171" s="2"/>
    </row>
    <row r="172" spans="1:24" x14ac:dyDescent="0.25">
      <c r="A172" s="15">
        <v>43112</v>
      </c>
      <c r="B172" s="15">
        <v>43126</v>
      </c>
      <c r="C172" s="15">
        <v>43139</v>
      </c>
      <c r="D172" s="13">
        <f t="shared" si="5"/>
        <v>1077290.4870000002</v>
      </c>
      <c r="E172" s="13">
        <v>188857.16899999999</v>
      </c>
      <c r="F172" s="13">
        <v>145448.18599999999</v>
      </c>
      <c r="G172" s="13">
        <v>546271.478</v>
      </c>
      <c r="H172" s="13">
        <v>36202.305</v>
      </c>
      <c r="I172" s="13">
        <v>28495.391</v>
      </c>
      <c r="J172" s="13">
        <v>13542.383</v>
      </c>
      <c r="K172" s="13">
        <v>91869.361999999994</v>
      </c>
      <c r="L172" s="13">
        <v>9662.3739999999998</v>
      </c>
      <c r="M172" s="13">
        <v>1956.7449999999999</v>
      </c>
      <c r="N172" s="13">
        <v>4878.183</v>
      </c>
      <c r="O172" s="13">
        <v>10063.934999999999</v>
      </c>
      <c r="P172" s="13">
        <v>42.975999999999999</v>
      </c>
      <c r="X172" s="2"/>
    </row>
    <row r="173" spans="1:24" x14ac:dyDescent="0.25">
      <c r="A173" s="15">
        <v>43126</v>
      </c>
      <c r="B173" s="15">
        <v>43140</v>
      </c>
      <c r="C173" s="15">
        <v>43153</v>
      </c>
      <c r="D173" s="13">
        <f t="shared" si="5"/>
        <v>1082645.55</v>
      </c>
      <c r="E173" s="13">
        <v>198464.08799999999</v>
      </c>
      <c r="F173" s="13">
        <v>134217.41</v>
      </c>
      <c r="G173" s="13">
        <v>553304.93299999996</v>
      </c>
      <c r="H173" s="13">
        <v>35158.254000000001</v>
      </c>
      <c r="I173" s="13">
        <v>29047.485000000001</v>
      </c>
      <c r="J173" s="13">
        <v>13652.717000000001</v>
      </c>
      <c r="K173" s="13">
        <v>92097.267000000007</v>
      </c>
      <c r="L173" s="13">
        <v>9754.2489999999998</v>
      </c>
      <c r="M173" s="13">
        <v>1956.37</v>
      </c>
      <c r="N173" s="13">
        <v>4877.8239999999996</v>
      </c>
      <c r="O173" s="13">
        <v>10065.145</v>
      </c>
      <c r="P173" s="13">
        <v>49.808</v>
      </c>
      <c r="X173" s="2"/>
    </row>
    <row r="174" spans="1:24" x14ac:dyDescent="0.25">
      <c r="A174" s="15">
        <v>43140</v>
      </c>
      <c r="B174" s="15">
        <v>43154</v>
      </c>
      <c r="C174" s="15">
        <v>43167</v>
      </c>
      <c r="D174" s="13">
        <f t="shared" si="5"/>
        <v>1069342.598</v>
      </c>
      <c r="E174" s="13">
        <v>178339.90599999999</v>
      </c>
      <c r="F174" s="13">
        <v>142866.93</v>
      </c>
      <c r="G174" s="13">
        <v>550753.47100000002</v>
      </c>
      <c r="H174" s="13">
        <v>34909.158000000003</v>
      </c>
      <c r="I174" s="13">
        <v>28932.244999999999</v>
      </c>
      <c r="J174" s="13">
        <v>13895.665999999999</v>
      </c>
      <c r="K174" s="13">
        <v>93661.851999999999</v>
      </c>
      <c r="L174" s="13">
        <v>9662.9439999999995</v>
      </c>
      <c r="M174" s="13">
        <v>1956.12</v>
      </c>
      <c r="N174" s="13">
        <v>4847.7030000000004</v>
      </c>
      <c r="O174" s="13">
        <v>9466.7240000000002</v>
      </c>
      <c r="P174" s="13">
        <v>49.878999999999998</v>
      </c>
      <c r="X174" s="2"/>
    </row>
    <row r="175" spans="1:24" x14ac:dyDescent="0.25">
      <c r="A175" s="15">
        <v>43154</v>
      </c>
      <c r="B175" s="15">
        <v>43168</v>
      </c>
      <c r="C175" s="15">
        <v>43181</v>
      </c>
      <c r="D175" s="13">
        <f t="shared" si="5"/>
        <v>1072040.8050000002</v>
      </c>
      <c r="E175" s="13">
        <v>185241.43799999999</v>
      </c>
      <c r="F175" s="13">
        <v>142757.44399999999</v>
      </c>
      <c r="G175" s="13">
        <v>545473.38800000004</v>
      </c>
      <c r="H175" s="13">
        <v>33977.875999999997</v>
      </c>
      <c r="I175" s="13">
        <v>29957.498</v>
      </c>
      <c r="J175" s="13">
        <v>14438.596</v>
      </c>
      <c r="K175" s="13">
        <v>94786.187000000005</v>
      </c>
      <c r="L175" s="13">
        <v>9048.58</v>
      </c>
      <c r="M175" s="13">
        <v>1916.12</v>
      </c>
      <c r="N175" s="13">
        <v>4679.6400000000003</v>
      </c>
      <c r="O175" s="13">
        <v>9695.8709999999992</v>
      </c>
      <c r="P175" s="13">
        <v>68.167000000000002</v>
      </c>
      <c r="X175" s="2"/>
    </row>
    <row r="176" spans="1:24" x14ac:dyDescent="0.25">
      <c r="A176" s="15">
        <v>43168</v>
      </c>
      <c r="B176" s="15">
        <v>43182</v>
      </c>
      <c r="C176" s="15">
        <v>43195</v>
      </c>
      <c r="D176" s="13">
        <f t="shared" si="5"/>
        <v>1081349.0620000002</v>
      </c>
      <c r="E176" s="13">
        <v>182863.77799999999</v>
      </c>
      <c r="F176" s="13">
        <v>148707.266</v>
      </c>
      <c r="G176" s="13">
        <v>548993.75300000003</v>
      </c>
      <c r="H176" s="13">
        <v>34975.182999999997</v>
      </c>
      <c r="I176" s="13">
        <v>30061.695</v>
      </c>
      <c r="J176" s="13">
        <v>14439.584000000001</v>
      </c>
      <c r="K176" s="13">
        <v>95637.047000000006</v>
      </c>
      <c r="L176" s="13">
        <v>8969.2129999999997</v>
      </c>
      <c r="M176" s="13">
        <v>1915.62</v>
      </c>
      <c r="N176" s="13">
        <v>4671.3059999999996</v>
      </c>
      <c r="O176" s="13">
        <v>10053.882</v>
      </c>
      <c r="P176" s="13">
        <v>60.734999999999999</v>
      </c>
      <c r="X176" s="2"/>
    </row>
    <row r="177" spans="1:24" x14ac:dyDescent="0.25">
      <c r="A177" s="15">
        <v>43182</v>
      </c>
      <c r="B177" s="15">
        <v>43196</v>
      </c>
      <c r="C177" s="15">
        <v>43209</v>
      </c>
      <c r="D177" s="13">
        <f t="shared" si="5"/>
        <v>1109328.3599999996</v>
      </c>
      <c r="E177" s="13">
        <v>197732.364</v>
      </c>
      <c r="F177" s="13">
        <v>149749.158</v>
      </c>
      <c r="G177" s="13">
        <v>554135.15500000003</v>
      </c>
      <c r="H177" s="13">
        <v>36610.237999999998</v>
      </c>
      <c r="I177" s="13">
        <v>31401.628000000001</v>
      </c>
      <c r="J177" s="13">
        <v>14415.269</v>
      </c>
      <c r="K177" s="13">
        <v>100065.878</v>
      </c>
      <c r="L177" s="13">
        <v>8667.1059999999998</v>
      </c>
      <c r="M177" s="13">
        <v>1832.6969999999999</v>
      </c>
      <c r="N177" s="13">
        <v>4623.7039999999997</v>
      </c>
      <c r="O177" s="13">
        <v>10034.433999999999</v>
      </c>
      <c r="P177" s="13">
        <v>60.728999999999999</v>
      </c>
      <c r="X177" s="2"/>
    </row>
    <row r="178" spans="1:24" x14ac:dyDescent="0.25">
      <c r="A178" s="15">
        <v>43196</v>
      </c>
      <c r="B178" s="15">
        <v>43210</v>
      </c>
      <c r="C178" s="15">
        <v>43223</v>
      </c>
      <c r="D178" s="13">
        <f t="shared" si="5"/>
        <v>1118894.352</v>
      </c>
      <c r="E178" s="13">
        <v>191097.62700000001</v>
      </c>
      <c r="F178" s="13">
        <v>152764.71900000001</v>
      </c>
      <c r="G178" s="13">
        <v>562199.39300000004</v>
      </c>
      <c r="H178" s="13">
        <v>38101.404999999999</v>
      </c>
      <c r="I178" s="13">
        <v>31618.085999999999</v>
      </c>
      <c r="J178" s="13">
        <v>14535.343999999999</v>
      </c>
      <c r="K178" s="13">
        <v>103380.94899999999</v>
      </c>
      <c r="L178" s="13">
        <v>9161.9380000000001</v>
      </c>
      <c r="M178" s="13">
        <v>1792.4780000000001</v>
      </c>
      <c r="N178" s="13">
        <v>4406.7610000000004</v>
      </c>
      <c r="O178" s="13">
        <v>9784.4159999999993</v>
      </c>
      <c r="P178" s="13">
        <v>51.235999999999997</v>
      </c>
      <c r="X178" s="2"/>
    </row>
    <row r="179" spans="1:24" ht="14.25" customHeight="1" x14ac:dyDescent="0.25">
      <c r="A179" s="15">
        <v>43210</v>
      </c>
      <c r="B179" s="15">
        <v>43224</v>
      </c>
      <c r="C179" s="15">
        <v>43237</v>
      </c>
      <c r="D179" s="13">
        <f t="shared" si="5"/>
        <v>1132812.1089999999</v>
      </c>
      <c r="E179" s="13">
        <v>201256.19200000001</v>
      </c>
      <c r="F179" s="13">
        <v>150262.04999999999</v>
      </c>
      <c r="G179" s="13">
        <v>563517.73400000005</v>
      </c>
      <c r="H179" s="13">
        <v>40118.589</v>
      </c>
      <c r="I179" s="13">
        <v>33279.03</v>
      </c>
      <c r="J179" s="13">
        <v>14359.398999999999</v>
      </c>
      <c r="K179" s="13">
        <v>104681.283</v>
      </c>
      <c r="L179" s="13">
        <v>9335.6970000000001</v>
      </c>
      <c r="M179" s="13">
        <v>1792.107</v>
      </c>
      <c r="N179" s="13">
        <v>4376.4120000000003</v>
      </c>
      <c r="O179" s="13">
        <v>9784.4869999999992</v>
      </c>
      <c r="P179" s="13">
        <v>49.128999999999998</v>
      </c>
      <c r="X179" s="2"/>
    </row>
    <row r="180" spans="1:24" ht="14.25" customHeight="1" x14ac:dyDescent="0.25">
      <c r="A180" s="15">
        <v>43224</v>
      </c>
      <c r="B180" s="15">
        <v>43238</v>
      </c>
      <c r="C180" s="15">
        <v>43251</v>
      </c>
      <c r="D180" s="13">
        <f t="shared" si="5"/>
        <v>1133432.6779999998</v>
      </c>
      <c r="E180" s="13">
        <v>194634.61900000001</v>
      </c>
      <c r="F180" s="13">
        <v>150797.20199999999</v>
      </c>
      <c r="G180" s="13">
        <v>569184.93799999997</v>
      </c>
      <c r="H180" s="13">
        <v>40639.031000000003</v>
      </c>
      <c r="I180" s="13">
        <v>33316.877999999997</v>
      </c>
      <c r="J180" s="13">
        <v>14197.625</v>
      </c>
      <c r="K180" s="13">
        <v>105318.78</v>
      </c>
      <c r="L180" s="13">
        <v>9245.3310000000001</v>
      </c>
      <c r="M180" s="13">
        <v>1826.8530000000001</v>
      </c>
      <c r="N180" s="13">
        <v>4439.9830000000002</v>
      </c>
      <c r="O180" s="13">
        <v>9780.8160000000007</v>
      </c>
      <c r="P180" s="13">
        <v>50.622</v>
      </c>
      <c r="X180" s="2"/>
    </row>
    <row r="181" spans="1:24" ht="14.25" customHeight="1" x14ac:dyDescent="0.25">
      <c r="A181" s="15">
        <v>43238</v>
      </c>
      <c r="B181" s="15">
        <v>43252</v>
      </c>
      <c r="C181" s="15">
        <v>43268</v>
      </c>
      <c r="D181" s="13">
        <f t="shared" si="5"/>
        <v>1154286.3079999997</v>
      </c>
      <c r="E181" s="13">
        <v>214601.16399999999</v>
      </c>
      <c r="F181" s="13">
        <v>144863.31400000001</v>
      </c>
      <c r="G181" s="13">
        <v>572996.03200000001</v>
      </c>
      <c r="H181" s="13">
        <v>42426.207000000002</v>
      </c>
      <c r="I181" s="13">
        <v>32718.123</v>
      </c>
      <c r="J181" s="13">
        <v>14285.706</v>
      </c>
      <c r="K181" s="13">
        <v>107010.836</v>
      </c>
      <c r="L181" s="13">
        <v>9385.9989999999998</v>
      </c>
      <c r="M181" s="13">
        <v>1741.8520000000001</v>
      </c>
      <c r="N181" s="13">
        <v>4437.0150000000003</v>
      </c>
      <c r="O181" s="13">
        <v>9780.866</v>
      </c>
      <c r="P181" s="13">
        <v>39.194000000000003</v>
      </c>
      <c r="X181" s="2"/>
    </row>
    <row r="182" spans="1:24" ht="14.25" customHeight="1" x14ac:dyDescent="0.25">
      <c r="A182" s="15">
        <v>43252</v>
      </c>
      <c r="B182" s="15">
        <v>43269</v>
      </c>
      <c r="C182" s="15">
        <v>43279</v>
      </c>
      <c r="D182" s="13">
        <f t="shared" si="5"/>
        <v>1126369.8840000001</v>
      </c>
      <c r="E182" s="13">
        <v>198116.867</v>
      </c>
      <c r="F182" s="13">
        <v>143949.89099999989</v>
      </c>
      <c r="G182" s="13">
        <v>558557.58100000001</v>
      </c>
      <c r="H182" s="13">
        <v>42761.031999999999</v>
      </c>
      <c r="I182" s="13">
        <v>31534.186000000002</v>
      </c>
      <c r="J182" s="13">
        <v>14128.534</v>
      </c>
      <c r="K182" s="13">
        <v>111616.337</v>
      </c>
      <c r="L182" s="13">
        <v>9563.5460000000003</v>
      </c>
      <c r="M182" s="13">
        <v>1742.3530000000001</v>
      </c>
      <c r="N182" s="13">
        <v>4116.8969999999999</v>
      </c>
      <c r="O182" s="13">
        <v>10230.654</v>
      </c>
      <c r="P182" s="13">
        <v>52.006</v>
      </c>
      <c r="X182" s="2"/>
    </row>
    <row r="183" spans="1:24" ht="14.25" customHeight="1" x14ac:dyDescent="0.25">
      <c r="A183" s="15">
        <v>43265</v>
      </c>
      <c r="B183" s="15">
        <v>43280</v>
      </c>
      <c r="C183" s="15">
        <v>43293</v>
      </c>
      <c r="D183" s="13">
        <f t="shared" si="5"/>
        <v>1147879.3460000001</v>
      </c>
      <c r="E183" s="13">
        <v>218840.16500000001</v>
      </c>
      <c r="F183" s="13">
        <v>146314.06099999999</v>
      </c>
      <c r="G183" s="13">
        <v>557586.19200000004</v>
      </c>
      <c r="H183" s="13">
        <v>44044.341</v>
      </c>
      <c r="I183" s="13">
        <v>31619.483</v>
      </c>
      <c r="J183" s="13">
        <v>14052.471</v>
      </c>
      <c r="K183" s="13">
        <v>110007.79300000001</v>
      </c>
      <c r="L183" s="13">
        <v>9284.6149999999998</v>
      </c>
      <c r="M183" s="13">
        <v>1742.191</v>
      </c>
      <c r="N183" s="13">
        <v>4107.9669999999996</v>
      </c>
      <c r="O183" s="13">
        <v>10230.683000000001</v>
      </c>
      <c r="P183" s="13">
        <v>49.384</v>
      </c>
      <c r="X183" s="2"/>
    </row>
    <row r="184" spans="1:24" ht="14.25" customHeight="1" x14ac:dyDescent="0.25">
      <c r="A184" s="15">
        <v>43280</v>
      </c>
      <c r="B184" s="15">
        <v>43294</v>
      </c>
      <c r="C184" s="15">
        <v>43307</v>
      </c>
      <c r="D184" s="13">
        <f t="shared" si="5"/>
        <v>1138861.0189999999</v>
      </c>
      <c r="E184" s="13">
        <v>210388.46299999999</v>
      </c>
      <c r="F184" s="13">
        <v>140725.34</v>
      </c>
      <c r="G184" s="13">
        <v>563216.47499999998</v>
      </c>
      <c r="H184" s="13">
        <v>42304.453000000001</v>
      </c>
      <c r="I184" s="13">
        <v>33047.402999999998</v>
      </c>
      <c r="J184" s="13">
        <v>14003.517</v>
      </c>
      <c r="K184" s="13">
        <v>110685.428</v>
      </c>
      <c r="L184" s="13">
        <v>8380.8729999999996</v>
      </c>
      <c r="M184" s="13">
        <v>1766.847</v>
      </c>
      <c r="N184" s="13">
        <v>4079.8069999999998</v>
      </c>
      <c r="O184" s="13">
        <v>10223.454</v>
      </c>
      <c r="P184" s="13">
        <v>38.959000000000003</v>
      </c>
      <c r="X184" s="2"/>
    </row>
    <row r="185" spans="1:24" ht="14.25" customHeight="1" x14ac:dyDescent="0.25">
      <c r="A185" s="15">
        <v>43294</v>
      </c>
      <c r="B185" s="15">
        <v>43308</v>
      </c>
      <c r="C185" s="15">
        <v>43321</v>
      </c>
      <c r="D185" s="13">
        <f t="shared" si="5"/>
        <v>1173658.4350000003</v>
      </c>
      <c r="E185" s="13">
        <v>222410.611</v>
      </c>
      <c r="F185" s="13">
        <v>150369.726</v>
      </c>
      <c r="G185" s="13">
        <v>572538.75600000005</v>
      </c>
      <c r="H185" s="13">
        <v>42308.957999999999</v>
      </c>
      <c r="I185" s="13">
        <v>32563.675999999999</v>
      </c>
      <c r="J185" s="13">
        <v>14031.932000000001</v>
      </c>
      <c r="K185" s="13">
        <v>115372.29</v>
      </c>
      <c r="L185" s="13">
        <v>7994.3869999999997</v>
      </c>
      <c r="M185" s="13">
        <v>1768.347</v>
      </c>
      <c r="N185" s="13">
        <v>4039.6170000000002</v>
      </c>
      <c r="O185" s="13">
        <v>10223.491</v>
      </c>
      <c r="P185" s="13">
        <v>36.643999999999998</v>
      </c>
      <c r="X185" s="2"/>
    </row>
    <row r="186" spans="1:24" ht="14.25" customHeight="1" x14ac:dyDescent="0.25">
      <c r="A186" s="15">
        <v>43308</v>
      </c>
      <c r="B186" s="15">
        <v>43322</v>
      </c>
      <c r="C186" s="15">
        <v>43338</v>
      </c>
      <c r="D186" s="13">
        <f t="shared" ref="D186:D249" si="6">+SUM(E186:Q186)</f>
        <v>1176236.0040000002</v>
      </c>
      <c r="E186" s="13">
        <v>224295.04399999999</v>
      </c>
      <c r="F186" s="13">
        <v>145288.65299999999</v>
      </c>
      <c r="G186" s="13">
        <v>576997.826</v>
      </c>
      <c r="H186" s="13">
        <v>42424.472999999998</v>
      </c>
      <c r="I186" s="13">
        <v>30969.048999999999</v>
      </c>
      <c r="J186" s="13">
        <v>13924.477999999999</v>
      </c>
      <c r="K186" s="13">
        <v>118144.06600000001</v>
      </c>
      <c r="L186" s="13">
        <v>8079.9359999999997</v>
      </c>
      <c r="M186" s="13">
        <v>1767.972</v>
      </c>
      <c r="N186" s="13">
        <v>4082.605</v>
      </c>
      <c r="O186" s="13">
        <v>10225.538</v>
      </c>
      <c r="P186" s="13">
        <v>36.363999999999997</v>
      </c>
      <c r="X186" s="2"/>
    </row>
    <row r="187" spans="1:24" ht="14.25" customHeight="1" x14ac:dyDescent="0.25">
      <c r="A187" s="15">
        <v>43322</v>
      </c>
      <c r="B187" s="15">
        <v>43339</v>
      </c>
      <c r="C187" s="15">
        <v>43349</v>
      </c>
      <c r="D187" s="13">
        <f t="shared" si="6"/>
        <v>1171137.297</v>
      </c>
      <c r="E187" s="13">
        <v>214101.353</v>
      </c>
      <c r="F187" s="13">
        <v>158870.81899999999</v>
      </c>
      <c r="G187" s="13">
        <v>570855.06900000002</v>
      </c>
      <c r="H187" s="13">
        <v>41010.084000000003</v>
      </c>
      <c r="I187" s="13">
        <v>29715.101999999999</v>
      </c>
      <c r="J187" s="13">
        <v>13874.589</v>
      </c>
      <c r="K187" s="13">
        <v>118481.356</v>
      </c>
      <c r="L187" s="13">
        <v>8157.5370000000003</v>
      </c>
      <c r="M187" s="13">
        <v>1728.222</v>
      </c>
      <c r="N187" s="13">
        <v>4073.6030000000001</v>
      </c>
      <c r="O187" s="13">
        <v>10224.914000000001</v>
      </c>
      <c r="P187" s="13">
        <v>44.649000000000001</v>
      </c>
      <c r="X187" s="2"/>
    </row>
    <row r="188" spans="1:24" ht="14.25" customHeight="1" x14ac:dyDescent="0.25">
      <c r="A188" s="15">
        <v>43332</v>
      </c>
      <c r="B188" s="15">
        <v>43350</v>
      </c>
      <c r="C188" s="15">
        <v>43363</v>
      </c>
      <c r="D188" s="13">
        <f t="shared" si="6"/>
        <v>1202894.4360000002</v>
      </c>
      <c r="E188" s="13">
        <v>241126.28899999999</v>
      </c>
      <c r="F188" s="13">
        <v>159048.61499999999</v>
      </c>
      <c r="G188" s="13">
        <v>574720.54200000002</v>
      </c>
      <c r="H188" s="13">
        <v>40407.56</v>
      </c>
      <c r="I188" s="13">
        <v>29454.481</v>
      </c>
      <c r="J188" s="13">
        <v>13874.856</v>
      </c>
      <c r="K188" s="13">
        <v>119958.82399999999</v>
      </c>
      <c r="L188" s="13">
        <v>8199.8269999999993</v>
      </c>
      <c r="M188" s="13">
        <v>1713.222</v>
      </c>
      <c r="N188" s="13">
        <v>4116.4709999999995</v>
      </c>
      <c r="O188" s="13">
        <v>10224.951999999999</v>
      </c>
      <c r="P188" s="13">
        <v>48.796999999999997</v>
      </c>
      <c r="X188" s="2"/>
    </row>
    <row r="189" spans="1:24" ht="14.25" customHeight="1" x14ac:dyDescent="0.25">
      <c r="A189" s="15">
        <v>43350</v>
      </c>
      <c r="B189" s="15">
        <v>43364</v>
      </c>
      <c r="C189" s="15">
        <v>43377</v>
      </c>
      <c r="D189" s="13">
        <f t="shared" si="6"/>
        <v>1183360.3910000001</v>
      </c>
      <c r="E189" s="13">
        <v>208373.448</v>
      </c>
      <c r="F189" s="13">
        <v>180627.83300000001</v>
      </c>
      <c r="G189" s="13">
        <v>572326.13199999998</v>
      </c>
      <c r="H189" s="13">
        <v>36793.417999999998</v>
      </c>
      <c r="I189" s="13">
        <v>29852.295999999998</v>
      </c>
      <c r="J189" s="13">
        <v>13920.388000000001</v>
      </c>
      <c r="K189" s="13">
        <v>117353.298</v>
      </c>
      <c r="L189" s="13">
        <v>8036.9549999999999</v>
      </c>
      <c r="M189" s="13">
        <v>1713.06</v>
      </c>
      <c r="N189" s="13">
        <v>4086.4690000000001</v>
      </c>
      <c r="O189" s="13">
        <v>10225.019</v>
      </c>
      <c r="P189" s="13">
        <v>52.075000000000003</v>
      </c>
      <c r="X189" s="2"/>
    </row>
    <row r="190" spans="1:24" ht="14.25" customHeight="1" x14ac:dyDescent="0.25">
      <c r="A190" s="15">
        <v>43364</v>
      </c>
      <c r="B190" s="15">
        <v>43378</v>
      </c>
      <c r="C190" s="15">
        <v>43391</v>
      </c>
      <c r="D190" s="13">
        <f t="shared" si="6"/>
        <v>1181607.372</v>
      </c>
      <c r="E190" s="13">
        <v>204068.10399999999</v>
      </c>
      <c r="F190" s="13">
        <v>158706.28099999999</v>
      </c>
      <c r="G190" s="13">
        <v>597731.755</v>
      </c>
      <c r="H190" s="13">
        <v>36892.355000000003</v>
      </c>
      <c r="I190" s="13">
        <v>28672.6</v>
      </c>
      <c r="J190" s="13">
        <v>15895.179999999998</v>
      </c>
      <c r="K190" s="13">
        <v>115612.34699999999</v>
      </c>
      <c r="L190" s="13">
        <v>7951.0060000000003</v>
      </c>
      <c r="M190" s="13">
        <v>1712.9349999999999</v>
      </c>
      <c r="N190" s="13">
        <v>4085.8180000000002</v>
      </c>
      <c r="O190" s="13">
        <v>10225.075000000001</v>
      </c>
      <c r="P190" s="13">
        <v>53.915999999999997</v>
      </c>
      <c r="X190" s="2"/>
    </row>
    <row r="191" spans="1:24" ht="14.25" customHeight="1" x14ac:dyDescent="0.25">
      <c r="A191" s="15">
        <v>43378</v>
      </c>
      <c r="B191" s="15">
        <v>43392</v>
      </c>
      <c r="C191" s="15">
        <v>43405</v>
      </c>
      <c r="D191" s="13">
        <f t="shared" si="6"/>
        <v>1170246.2239999999</v>
      </c>
      <c r="E191" s="13">
        <v>188340.58600000001</v>
      </c>
      <c r="F191" s="13">
        <v>153975.932</v>
      </c>
      <c r="G191" s="13">
        <v>614492.27</v>
      </c>
      <c r="H191" s="13">
        <v>35084.311999999998</v>
      </c>
      <c r="I191" s="13">
        <v>27940.565999999999</v>
      </c>
      <c r="J191" s="13">
        <v>17393.86</v>
      </c>
      <c r="K191" s="13">
        <v>110020.382</v>
      </c>
      <c r="L191" s="13">
        <v>7987.2269999999999</v>
      </c>
      <c r="M191" s="13">
        <v>1682.653</v>
      </c>
      <c r="N191" s="13">
        <v>4055.768</v>
      </c>
      <c r="O191" s="13">
        <v>9225.1419999999998</v>
      </c>
      <c r="P191" s="13">
        <v>47.526000000000003</v>
      </c>
      <c r="X191" s="2"/>
    </row>
    <row r="192" spans="1:24" ht="14.25" customHeight="1" x14ac:dyDescent="0.25">
      <c r="A192" s="15">
        <v>43392</v>
      </c>
      <c r="B192" s="15">
        <v>43406</v>
      </c>
      <c r="C192" s="15">
        <v>43419</v>
      </c>
      <c r="D192" s="13">
        <f t="shared" si="6"/>
        <v>1179712.3439999998</v>
      </c>
      <c r="E192" s="13">
        <v>194321.701</v>
      </c>
      <c r="F192" s="13">
        <v>148420.83499999999</v>
      </c>
      <c r="G192" s="13">
        <v>618806.42799999996</v>
      </c>
      <c r="H192" s="13">
        <v>36104.771999999997</v>
      </c>
      <c r="I192" s="13">
        <v>29439.784</v>
      </c>
      <c r="J192" s="13">
        <v>18808.080000000002</v>
      </c>
      <c r="K192" s="13">
        <v>111431.37300000001</v>
      </c>
      <c r="L192" s="13">
        <v>7793.857</v>
      </c>
      <c r="M192" s="13">
        <v>1562.5029999999999</v>
      </c>
      <c r="N192" s="13">
        <v>3749.5360000000001</v>
      </c>
      <c r="O192" s="13">
        <v>9225.2099999999991</v>
      </c>
      <c r="P192" s="13">
        <v>48.265000000000001</v>
      </c>
      <c r="X192" s="2"/>
    </row>
    <row r="193" spans="1:24" ht="14.25" customHeight="1" x14ac:dyDescent="0.25">
      <c r="A193" s="15">
        <v>43406</v>
      </c>
      <c r="B193" s="15">
        <v>43420</v>
      </c>
      <c r="C193" s="15">
        <v>43433</v>
      </c>
      <c r="D193" s="13">
        <f t="shared" si="6"/>
        <v>1166133.7830000001</v>
      </c>
      <c r="E193" s="13">
        <v>178866.26699999999</v>
      </c>
      <c r="F193" s="13">
        <v>148709.83600000001</v>
      </c>
      <c r="G193" s="13">
        <v>610536.62100000004</v>
      </c>
      <c r="H193" s="13">
        <v>42218.241000000002</v>
      </c>
      <c r="I193" s="13">
        <v>29775.168000000001</v>
      </c>
      <c r="J193" s="13">
        <v>20115.316999999999</v>
      </c>
      <c r="K193" s="13">
        <v>112768.39</v>
      </c>
      <c r="L193" s="13">
        <v>8399.7610000000004</v>
      </c>
      <c r="M193" s="13">
        <v>1637.2529999999999</v>
      </c>
      <c r="N193" s="13">
        <v>3822.6149999999998</v>
      </c>
      <c r="O193" s="13">
        <v>9225.2780000000002</v>
      </c>
      <c r="P193" s="13">
        <v>59.036000000000001</v>
      </c>
      <c r="X193" s="2"/>
    </row>
    <row r="194" spans="1:24" ht="14.25" customHeight="1" x14ac:dyDescent="0.25">
      <c r="A194" s="15">
        <v>43420</v>
      </c>
      <c r="B194" s="15">
        <v>43434</v>
      </c>
      <c r="C194" s="15">
        <v>43447</v>
      </c>
      <c r="D194" s="13">
        <f t="shared" si="6"/>
        <v>1190656.2809999997</v>
      </c>
      <c r="E194" s="13">
        <v>194214.89499999999</v>
      </c>
      <c r="F194" s="13">
        <v>149275.783</v>
      </c>
      <c r="G194" s="13">
        <v>601381.58499999996</v>
      </c>
      <c r="H194" s="13">
        <v>54907.23</v>
      </c>
      <c r="I194" s="13">
        <v>32833.226999999999</v>
      </c>
      <c r="J194" s="13">
        <v>22237.791000000001</v>
      </c>
      <c r="K194" s="13">
        <v>113893.238</v>
      </c>
      <c r="L194" s="13">
        <v>7616.74</v>
      </c>
      <c r="M194" s="13">
        <v>1634.9469999999999</v>
      </c>
      <c r="N194" s="13">
        <v>3379.3270000000002</v>
      </c>
      <c r="O194" s="13">
        <v>9229.9539999999997</v>
      </c>
      <c r="P194" s="13">
        <v>51.564</v>
      </c>
      <c r="X194" s="2"/>
    </row>
    <row r="195" spans="1:24" ht="14.25" customHeight="1" x14ac:dyDescent="0.25">
      <c r="A195" s="15">
        <v>43434</v>
      </c>
      <c r="B195" s="15">
        <v>43448</v>
      </c>
      <c r="C195" s="15">
        <v>43461</v>
      </c>
      <c r="D195" s="13">
        <f t="shared" si="6"/>
        <v>1172270.308</v>
      </c>
      <c r="E195" s="13">
        <v>183825.85</v>
      </c>
      <c r="F195" s="13">
        <v>133305.50700000001</v>
      </c>
      <c r="G195" s="13">
        <v>570988.39800000004</v>
      </c>
      <c r="H195" s="13">
        <v>79902.759999999995</v>
      </c>
      <c r="I195" s="13">
        <v>40640.749000000003</v>
      </c>
      <c r="J195" s="13">
        <v>25163.027999999998</v>
      </c>
      <c r="K195" s="13">
        <v>115819.93</v>
      </c>
      <c r="L195" s="13">
        <v>8315.2749999999996</v>
      </c>
      <c r="M195" s="13">
        <v>1661.9469999999999</v>
      </c>
      <c r="N195" s="13">
        <v>3356.634</v>
      </c>
      <c r="O195" s="13">
        <v>9229.9830000000002</v>
      </c>
      <c r="P195" s="13">
        <v>60.247</v>
      </c>
      <c r="X195" s="2"/>
    </row>
    <row r="196" spans="1:24" ht="14.25" customHeight="1" x14ac:dyDescent="0.25">
      <c r="A196" s="15">
        <v>43448</v>
      </c>
      <c r="B196" s="15">
        <v>43462</v>
      </c>
      <c r="C196" s="15">
        <v>43475</v>
      </c>
      <c r="D196" s="13">
        <f t="shared" si="6"/>
        <v>1192377.6580000001</v>
      </c>
      <c r="E196" s="13">
        <v>191407.51</v>
      </c>
      <c r="F196" s="13">
        <v>153382.117</v>
      </c>
      <c r="G196" s="13">
        <v>558894.76599999995</v>
      </c>
      <c r="H196" s="13">
        <v>84654.051999999996</v>
      </c>
      <c r="I196" s="13">
        <v>39601.373</v>
      </c>
      <c r="J196" s="13">
        <v>25800.559000000001</v>
      </c>
      <c r="K196" s="13">
        <v>113788.894</v>
      </c>
      <c r="L196" s="13">
        <v>8280.6229999999996</v>
      </c>
      <c r="M196" s="13">
        <v>1661.722</v>
      </c>
      <c r="N196" s="13">
        <v>3464.8</v>
      </c>
      <c r="O196" s="13">
        <v>11380.016</v>
      </c>
      <c r="P196" s="13">
        <v>61.225999999999999</v>
      </c>
      <c r="X196" s="2"/>
    </row>
    <row r="197" spans="1:24" ht="14.25" customHeight="1" x14ac:dyDescent="0.25">
      <c r="A197" s="15">
        <v>43462</v>
      </c>
      <c r="B197" s="15">
        <v>43476</v>
      </c>
      <c r="C197" s="15">
        <v>43489</v>
      </c>
      <c r="D197" s="13">
        <f t="shared" si="6"/>
        <v>1182337.1570000004</v>
      </c>
      <c r="E197" s="13">
        <v>195975.92600000001</v>
      </c>
      <c r="F197" s="13">
        <v>149390.79800000001</v>
      </c>
      <c r="G197" s="13">
        <v>552974.04799999995</v>
      </c>
      <c r="H197" s="13">
        <v>88246.118000000002</v>
      </c>
      <c r="I197" s="13">
        <v>39026.981</v>
      </c>
      <c r="J197" s="13">
        <v>25313.302</v>
      </c>
      <c r="K197" s="13">
        <v>106530.84</v>
      </c>
      <c r="L197" s="13">
        <v>8192.0460000000003</v>
      </c>
      <c r="M197" s="13">
        <v>1659.1020000000001</v>
      </c>
      <c r="N197" s="13">
        <v>3492.1410000000001</v>
      </c>
      <c r="O197" s="13">
        <v>11373.164000000001</v>
      </c>
      <c r="P197" s="13">
        <v>162.691</v>
      </c>
      <c r="X197" s="2"/>
    </row>
    <row r="198" spans="1:24" ht="14.25" customHeight="1" x14ac:dyDescent="0.25">
      <c r="A198" s="15">
        <v>43476</v>
      </c>
      <c r="B198" s="15">
        <v>43490</v>
      </c>
      <c r="C198" s="15">
        <v>43503</v>
      </c>
      <c r="D198" s="13">
        <f t="shared" si="6"/>
        <v>1125905.152</v>
      </c>
      <c r="E198" s="13">
        <v>165358.58300000001</v>
      </c>
      <c r="F198" s="13">
        <v>141557.22700000001</v>
      </c>
      <c r="G198" s="13">
        <v>545299.098</v>
      </c>
      <c r="H198" s="13">
        <v>84172.865000000005</v>
      </c>
      <c r="I198" s="13">
        <v>33142.815999999999</v>
      </c>
      <c r="J198" s="13">
        <v>25071.567999999999</v>
      </c>
      <c r="K198" s="13">
        <v>105567.416</v>
      </c>
      <c r="L198" s="13">
        <v>8151.7839999999997</v>
      </c>
      <c r="M198" s="13">
        <v>1677.079</v>
      </c>
      <c r="N198" s="13">
        <v>3486.4549999999999</v>
      </c>
      <c r="O198" s="13">
        <v>12371.97</v>
      </c>
      <c r="P198" s="13">
        <v>48.290999999999997</v>
      </c>
      <c r="X198" s="2"/>
    </row>
    <row r="199" spans="1:24" ht="14.25" customHeight="1" x14ac:dyDescent="0.25">
      <c r="A199" s="15">
        <v>43490</v>
      </c>
      <c r="B199" s="15">
        <v>43504</v>
      </c>
      <c r="C199" s="15">
        <v>43517</v>
      </c>
      <c r="D199" s="13">
        <f t="shared" si="6"/>
        <v>1121659.1869999997</v>
      </c>
      <c r="E199" s="13">
        <v>170444.611</v>
      </c>
      <c r="F199" s="13">
        <v>138465.60800000001</v>
      </c>
      <c r="G199" s="13">
        <v>542914.15</v>
      </c>
      <c r="H199" s="13">
        <v>83267.676999999996</v>
      </c>
      <c r="I199" s="13">
        <v>32143.999</v>
      </c>
      <c r="J199" s="13">
        <v>25227.996999999999</v>
      </c>
      <c r="K199" s="13">
        <v>103466.226</v>
      </c>
      <c r="L199" s="13">
        <v>7755.97</v>
      </c>
      <c r="M199" s="13">
        <v>1677.079</v>
      </c>
      <c r="N199" s="13">
        <v>3482.5529999999999</v>
      </c>
      <c r="O199" s="13">
        <v>12768.427</v>
      </c>
      <c r="P199" s="13">
        <v>44.89</v>
      </c>
      <c r="X199" s="2"/>
    </row>
    <row r="200" spans="1:24" ht="14.25" customHeight="1" x14ac:dyDescent="0.25">
      <c r="A200" s="15">
        <v>43504</v>
      </c>
      <c r="B200" s="15">
        <v>43518</v>
      </c>
      <c r="C200" s="15">
        <v>43531</v>
      </c>
      <c r="D200" s="13">
        <f t="shared" si="6"/>
        <v>1100422.1240000001</v>
      </c>
      <c r="E200" s="13">
        <v>165185.56400000001</v>
      </c>
      <c r="F200" s="13">
        <v>130788.527</v>
      </c>
      <c r="G200" s="13">
        <v>537251.25199999998</v>
      </c>
      <c r="H200" s="13">
        <v>80141.11</v>
      </c>
      <c r="I200" s="13">
        <v>32257.268</v>
      </c>
      <c r="J200" s="13">
        <v>24827.572</v>
      </c>
      <c r="K200" s="13">
        <v>104230.49800000001</v>
      </c>
      <c r="L200" s="13">
        <v>7738.6509999999998</v>
      </c>
      <c r="M200" s="13">
        <v>1612.079</v>
      </c>
      <c r="N200" s="13">
        <v>3577.692</v>
      </c>
      <c r="O200" s="13">
        <v>12768.59</v>
      </c>
      <c r="P200" s="13">
        <v>43.320999999999998</v>
      </c>
      <c r="X200" s="2"/>
    </row>
    <row r="201" spans="1:24" ht="14.25" customHeight="1" x14ac:dyDescent="0.25">
      <c r="A201" s="15">
        <v>43518</v>
      </c>
      <c r="B201" s="15">
        <v>43532</v>
      </c>
      <c r="C201" s="15">
        <v>43545</v>
      </c>
      <c r="D201" s="13">
        <f t="shared" si="6"/>
        <v>1110619.2819999999</v>
      </c>
      <c r="E201" s="13">
        <v>173142.59099999999</v>
      </c>
      <c r="F201" s="13">
        <v>145844.37100000001</v>
      </c>
      <c r="G201" s="13">
        <v>532708.07700000005</v>
      </c>
      <c r="H201" s="13">
        <v>68511.663</v>
      </c>
      <c r="I201" s="13">
        <v>32774.046000000002</v>
      </c>
      <c r="J201" s="13">
        <v>24270.262999999999</v>
      </c>
      <c r="K201" s="13">
        <v>106483.489</v>
      </c>
      <c r="L201" s="13">
        <v>7765.5820000000003</v>
      </c>
      <c r="M201" s="13">
        <v>1614.808</v>
      </c>
      <c r="N201" s="13">
        <v>3572.0720000000001</v>
      </c>
      <c r="O201" s="13">
        <v>13885.654</v>
      </c>
      <c r="P201" s="13">
        <v>46.665999999999997</v>
      </c>
      <c r="X201" s="2"/>
    </row>
    <row r="202" spans="1:24" ht="14.25" customHeight="1" x14ac:dyDescent="0.25">
      <c r="A202" s="15">
        <v>43532</v>
      </c>
      <c r="B202" s="15">
        <v>43546</v>
      </c>
      <c r="C202" s="15">
        <v>43559</v>
      </c>
      <c r="D202" s="13">
        <f t="shared" si="6"/>
        <v>1100449.4939999999</v>
      </c>
      <c r="E202" s="13">
        <v>171859.68299999999</v>
      </c>
      <c r="F202" s="13">
        <v>155938.70600000001</v>
      </c>
      <c r="G202" s="13">
        <v>525492.89300000004</v>
      </c>
      <c r="H202" s="13">
        <v>52758.550999999999</v>
      </c>
      <c r="I202" s="13">
        <v>32064.494999999999</v>
      </c>
      <c r="J202" s="13">
        <v>24319.901999999998</v>
      </c>
      <c r="K202" s="13">
        <v>111691.14</v>
      </c>
      <c r="L202" s="13">
        <v>7247.317</v>
      </c>
      <c r="M202" s="13">
        <v>1564.7449999999999</v>
      </c>
      <c r="N202" s="13">
        <v>3559.9830000000002</v>
      </c>
      <c r="O202" s="13">
        <v>13886.873</v>
      </c>
      <c r="P202" s="13">
        <v>65.206000000000003</v>
      </c>
      <c r="X202" s="2"/>
    </row>
    <row r="203" spans="1:24" ht="14.25" customHeight="1" x14ac:dyDescent="0.25">
      <c r="A203" s="15">
        <v>43546</v>
      </c>
      <c r="B203" s="15">
        <v>43560</v>
      </c>
      <c r="C203" s="15">
        <v>43573</v>
      </c>
      <c r="D203" s="13">
        <f t="shared" si="6"/>
        <v>1128295.7680000002</v>
      </c>
      <c r="E203" s="13">
        <v>185388.467</v>
      </c>
      <c r="F203" s="13">
        <v>173066.84700000001</v>
      </c>
      <c r="G203" s="13">
        <v>524382.50699999998</v>
      </c>
      <c r="H203" s="13">
        <v>48082.457999999999</v>
      </c>
      <c r="I203" s="13">
        <v>31780.022000000001</v>
      </c>
      <c r="J203" s="13">
        <v>24326.532999999999</v>
      </c>
      <c r="K203" s="13">
        <v>115350.95299999999</v>
      </c>
      <c r="L203" s="13">
        <v>6887.0159999999996</v>
      </c>
      <c r="M203" s="13">
        <v>1014.745</v>
      </c>
      <c r="N203" s="13">
        <v>3230.3130000000001</v>
      </c>
      <c r="O203" s="13">
        <v>14692.4</v>
      </c>
      <c r="P203" s="13">
        <v>93.507000000000005</v>
      </c>
      <c r="X203" s="2"/>
    </row>
    <row r="204" spans="1:24" ht="14.25" customHeight="1" x14ac:dyDescent="0.25">
      <c r="A204" s="15">
        <v>43560</v>
      </c>
      <c r="B204" s="15">
        <v>43574</v>
      </c>
      <c r="C204" s="15">
        <v>43587</v>
      </c>
      <c r="D204" s="13">
        <f t="shared" si="6"/>
        <v>1096601.8900000001</v>
      </c>
      <c r="E204" s="13">
        <v>176387.978</v>
      </c>
      <c r="F204" s="13">
        <v>165445.15599999999</v>
      </c>
      <c r="G204" s="13">
        <v>514709.58799999999</v>
      </c>
      <c r="H204" s="13">
        <v>39520.445</v>
      </c>
      <c r="I204" s="13">
        <v>30804.103999999999</v>
      </c>
      <c r="J204" s="13">
        <v>24359.078000000001</v>
      </c>
      <c r="K204" s="13">
        <v>120314.242</v>
      </c>
      <c r="L204" s="13">
        <v>6111.24</v>
      </c>
      <c r="M204" s="13">
        <v>979.62</v>
      </c>
      <c r="N204" s="13">
        <v>3225.9549999999999</v>
      </c>
      <c r="O204" s="13">
        <v>14692.395</v>
      </c>
      <c r="P204" s="13">
        <v>52.088999999999999</v>
      </c>
      <c r="X204" s="2"/>
    </row>
    <row r="205" spans="1:24" ht="14.25" customHeight="1" x14ac:dyDescent="0.25">
      <c r="A205" s="15">
        <v>43574</v>
      </c>
      <c r="B205" s="15">
        <v>43588</v>
      </c>
      <c r="C205" s="15">
        <v>43601</v>
      </c>
      <c r="D205" s="13">
        <f t="shared" si="6"/>
        <v>1129827.5130000003</v>
      </c>
      <c r="E205" s="13">
        <v>184338.87299999999</v>
      </c>
      <c r="F205" s="13">
        <v>180247.20600000001</v>
      </c>
      <c r="G205" s="13">
        <v>524982.28500000003</v>
      </c>
      <c r="H205" s="13">
        <v>38092.224999999999</v>
      </c>
      <c r="I205" s="13">
        <v>30332.37</v>
      </c>
      <c r="J205" s="13">
        <v>24295.806</v>
      </c>
      <c r="K205" s="13">
        <v>122796.73</v>
      </c>
      <c r="L205" s="13">
        <v>6006.0169999999998</v>
      </c>
      <c r="M205" s="13">
        <v>774.97900000000004</v>
      </c>
      <c r="N205" s="13">
        <v>3217.1610000000001</v>
      </c>
      <c r="O205" s="13">
        <v>14692.391</v>
      </c>
      <c r="P205" s="13">
        <v>51.47</v>
      </c>
      <c r="X205" s="2"/>
    </row>
    <row r="206" spans="1:24" ht="14.25" customHeight="1" x14ac:dyDescent="0.25">
      <c r="A206" s="15">
        <v>43588</v>
      </c>
      <c r="B206" s="15">
        <v>43602</v>
      </c>
      <c r="C206" s="15">
        <v>43615</v>
      </c>
      <c r="D206" s="13">
        <f t="shared" si="6"/>
        <v>1098482.9710000001</v>
      </c>
      <c r="E206" s="13">
        <v>178033.97399999999</v>
      </c>
      <c r="F206" s="13">
        <v>168178.88500000001</v>
      </c>
      <c r="G206" s="13">
        <v>521091.69300000003</v>
      </c>
      <c r="H206" s="13">
        <v>33235.417999999998</v>
      </c>
      <c r="I206" s="13">
        <v>26174.806</v>
      </c>
      <c r="J206" s="13">
        <v>25028.375</v>
      </c>
      <c r="K206" s="13">
        <v>121704.264</v>
      </c>
      <c r="L206" s="13">
        <v>6355.335</v>
      </c>
      <c r="M206" s="13">
        <v>724.97900000000004</v>
      </c>
      <c r="N206" s="13">
        <v>3216.491</v>
      </c>
      <c r="O206" s="13">
        <v>14692.380999999999</v>
      </c>
      <c r="P206" s="13">
        <v>46.37</v>
      </c>
      <c r="X206" s="2"/>
    </row>
    <row r="207" spans="1:24" ht="14.25" customHeight="1" x14ac:dyDescent="0.25">
      <c r="A207" s="15">
        <v>43602</v>
      </c>
      <c r="B207" s="15">
        <v>43616</v>
      </c>
      <c r="C207" s="15">
        <v>43629</v>
      </c>
      <c r="D207" s="13">
        <f t="shared" si="6"/>
        <v>1099036.1910000001</v>
      </c>
      <c r="E207" s="13">
        <v>178361.43700000001</v>
      </c>
      <c r="F207" s="13">
        <v>160948.649</v>
      </c>
      <c r="G207" s="13">
        <v>524171.90299999999</v>
      </c>
      <c r="H207" s="13">
        <v>38179.076000000001</v>
      </c>
      <c r="I207" s="13">
        <v>24966.382000000001</v>
      </c>
      <c r="J207" s="13">
        <v>25949.397000000001</v>
      </c>
      <c r="K207" s="13">
        <v>121660.60400000001</v>
      </c>
      <c r="L207" s="13">
        <v>6202.848</v>
      </c>
      <c r="M207" s="13">
        <v>654.79200000000003</v>
      </c>
      <c r="N207" s="13">
        <v>3210.9479999999999</v>
      </c>
      <c r="O207" s="13">
        <v>14692.376</v>
      </c>
      <c r="P207" s="13">
        <v>37.779000000000003</v>
      </c>
      <c r="X207" s="2"/>
    </row>
    <row r="208" spans="1:24" ht="14.25" customHeight="1" x14ac:dyDescent="0.25">
      <c r="A208" s="15">
        <v>43616</v>
      </c>
      <c r="B208" s="15">
        <v>43630</v>
      </c>
      <c r="C208" s="15">
        <v>43643</v>
      </c>
      <c r="D208" s="13">
        <f t="shared" si="6"/>
        <v>1097822.8590000002</v>
      </c>
      <c r="E208" s="13">
        <v>186206.99100000001</v>
      </c>
      <c r="F208" s="13">
        <v>152497.53099999999</v>
      </c>
      <c r="G208" s="13">
        <v>520381.58100000001</v>
      </c>
      <c r="H208" s="13">
        <v>44739.783000000003</v>
      </c>
      <c r="I208" s="13">
        <v>17484.244999999999</v>
      </c>
      <c r="J208" s="13">
        <v>28038.13</v>
      </c>
      <c r="K208" s="13">
        <v>124059.391</v>
      </c>
      <c r="L208" s="13">
        <v>5837.0429999999997</v>
      </c>
      <c r="M208" s="13">
        <v>643.43799999999999</v>
      </c>
      <c r="N208" s="13">
        <v>3200.4639999999999</v>
      </c>
      <c r="O208" s="13">
        <v>14692.093000000001</v>
      </c>
      <c r="P208" s="13">
        <v>42.168999999999997</v>
      </c>
      <c r="X208" s="2"/>
    </row>
    <row r="209" spans="1:24" ht="14.25" customHeight="1" x14ac:dyDescent="0.25">
      <c r="A209" s="15">
        <v>43630</v>
      </c>
      <c r="B209" s="15">
        <v>43644</v>
      </c>
      <c r="C209" s="15">
        <v>43657</v>
      </c>
      <c r="D209" s="13">
        <f t="shared" si="6"/>
        <v>1097665.7890000001</v>
      </c>
      <c r="E209" s="13">
        <v>177030.965</v>
      </c>
      <c r="F209" s="13">
        <v>162920.098</v>
      </c>
      <c r="G209" s="13">
        <v>516054.94099999999</v>
      </c>
      <c r="H209" s="13">
        <v>48174.093000000001</v>
      </c>
      <c r="I209" s="13">
        <v>16771.706999999999</v>
      </c>
      <c r="J209" s="13">
        <v>30084.348000000002</v>
      </c>
      <c r="K209" s="13">
        <v>122472.27800000001</v>
      </c>
      <c r="L209" s="13">
        <v>5597.7889999999998</v>
      </c>
      <c r="M209" s="13">
        <v>643.375</v>
      </c>
      <c r="N209" s="13">
        <v>3178.6779999999999</v>
      </c>
      <c r="O209" s="13">
        <v>14692.341</v>
      </c>
      <c r="P209" s="13">
        <v>45.176000000000002</v>
      </c>
      <c r="X209" s="2"/>
    </row>
    <row r="210" spans="1:24" ht="14.25" customHeight="1" x14ac:dyDescent="0.25">
      <c r="A210" s="15">
        <v>43644</v>
      </c>
      <c r="B210" s="15">
        <v>43658</v>
      </c>
      <c r="C210" s="15">
        <v>43671</v>
      </c>
      <c r="D210" s="13">
        <f t="shared" si="6"/>
        <v>1096185.0909999998</v>
      </c>
      <c r="E210" s="13">
        <v>177773.39799999999</v>
      </c>
      <c r="F210" s="13">
        <v>150603.41500000001</v>
      </c>
      <c r="G210" s="13">
        <v>515904.52299999999</v>
      </c>
      <c r="H210" s="13">
        <v>54731.438999999998</v>
      </c>
      <c r="I210" s="13">
        <v>16255.227000000001</v>
      </c>
      <c r="J210" s="13">
        <v>33016.44</v>
      </c>
      <c r="K210" s="13">
        <v>123882.36</v>
      </c>
      <c r="L210" s="13">
        <v>5486.3689999999997</v>
      </c>
      <c r="M210" s="13">
        <v>651.83699999999999</v>
      </c>
      <c r="N210" s="13">
        <v>3159.2849999999999</v>
      </c>
      <c r="O210" s="13">
        <v>14680.142</v>
      </c>
      <c r="P210" s="13">
        <v>40.655999999999999</v>
      </c>
      <c r="X210" s="2"/>
    </row>
    <row r="211" spans="1:24" ht="14.25" customHeight="1" x14ac:dyDescent="0.25">
      <c r="A211" s="15">
        <v>43658</v>
      </c>
      <c r="B211" s="15">
        <v>43672</v>
      </c>
      <c r="C211" s="15">
        <v>43685</v>
      </c>
      <c r="D211" s="13">
        <f t="shared" si="6"/>
        <v>1108517.0989999999</v>
      </c>
      <c r="E211" s="13">
        <v>172233.86900000001</v>
      </c>
      <c r="F211" s="13">
        <v>144030.25899999999</v>
      </c>
      <c r="G211" s="13">
        <v>531961.01100000006</v>
      </c>
      <c r="H211" s="13">
        <v>59066.552000000003</v>
      </c>
      <c r="I211" s="13">
        <v>16351.512000000001</v>
      </c>
      <c r="J211" s="13">
        <v>34124.008999999998</v>
      </c>
      <c r="K211" s="13">
        <v>126789.613</v>
      </c>
      <c r="L211" s="13">
        <v>5426.3680000000004</v>
      </c>
      <c r="M211" s="13">
        <v>651.83699999999999</v>
      </c>
      <c r="N211" s="13">
        <v>3158.6010000000001</v>
      </c>
      <c r="O211" s="13">
        <v>14685.082</v>
      </c>
      <c r="P211" s="13">
        <v>38.386000000000003</v>
      </c>
      <c r="X211" s="2"/>
    </row>
    <row r="212" spans="1:24" ht="14.25" customHeight="1" x14ac:dyDescent="0.25">
      <c r="A212" s="15">
        <v>43672</v>
      </c>
      <c r="B212" s="15">
        <v>43686</v>
      </c>
      <c r="C212" s="15">
        <v>43699</v>
      </c>
      <c r="D212" s="13">
        <f t="shared" si="6"/>
        <v>1128844.882</v>
      </c>
      <c r="E212" s="13">
        <v>176120.261</v>
      </c>
      <c r="F212" s="13">
        <v>144698.758</v>
      </c>
      <c r="G212" s="13">
        <v>538940.55000000005</v>
      </c>
      <c r="H212" s="13">
        <v>64665.063999999998</v>
      </c>
      <c r="I212" s="13">
        <v>16376.458000000001</v>
      </c>
      <c r="J212" s="13">
        <v>35258.078000000001</v>
      </c>
      <c r="K212" s="13">
        <v>129013.44100000001</v>
      </c>
      <c r="L212" s="13">
        <v>5281.3310000000001</v>
      </c>
      <c r="M212" s="13">
        <v>655.20399999999995</v>
      </c>
      <c r="N212" s="13">
        <v>3119.5140000000001</v>
      </c>
      <c r="O212" s="13">
        <v>14685.106</v>
      </c>
      <c r="P212" s="13">
        <v>31.117000000000001</v>
      </c>
      <c r="X212" s="2"/>
    </row>
    <row r="213" spans="1:24" ht="14.25" customHeight="1" x14ac:dyDescent="0.25">
      <c r="A213" s="15">
        <v>43686</v>
      </c>
      <c r="B213" s="15">
        <v>43700</v>
      </c>
      <c r="C213" s="15">
        <v>43713</v>
      </c>
      <c r="D213" s="13">
        <f t="shared" si="6"/>
        <v>1168608.7519999999</v>
      </c>
      <c r="E213" s="13">
        <v>201308.31400000001</v>
      </c>
      <c r="F213" s="13">
        <v>155246.58100000001</v>
      </c>
      <c r="G213" s="13">
        <v>535088.15700000001</v>
      </c>
      <c r="H213" s="13">
        <v>69164.019</v>
      </c>
      <c r="I213" s="13">
        <v>16500.596000000001</v>
      </c>
      <c r="J213" s="13">
        <v>35929.902000000002</v>
      </c>
      <c r="K213" s="13">
        <v>131863.55300000001</v>
      </c>
      <c r="L213" s="13">
        <v>5268.4369999999999</v>
      </c>
      <c r="M213" s="13">
        <v>480.017</v>
      </c>
      <c r="N213" s="13">
        <v>3043.5219999999999</v>
      </c>
      <c r="O213" s="13">
        <v>14685.136</v>
      </c>
      <c r="P213" s="13">
        <v>30.518000000000001</v>
      </c>
      <c r="X213" s="2"/>
    </row>
    <row r="214" spans="1:24" ht="14.25" customHeight="1" x14ac:dyDescent="0.25">
      <c r="A214" s="15">
        <v>43700</v>
      </c>
      <c r="B214" s="15">
        <v>43714</v>
      </c>
      <c r="C214" s="15">
        <v>43727</v>
      </c>
      <c r="D214" s="13">
        <f t="shared" si="6"/>
        <v>1165554.997</v>
      </c>
      <c r="E214" s="13">
        <v>191747.505</v>
      </c>
      <c r="F214" s="13">
        <v>173479.87400000001</v>
      </c>
      <c r="G214" s="13">
        <v>531377.41099999996</v>
      </c>
      <c r="H214" s="13">
        <v>69110.785999999993</v>
      </c>
      <c r="I214" s="13">
        <v>16080.85</v>
      </c>
      <c r="J214" s="13">
        <v>36190.985000000001</v>
      </c>
      <c r="K214" s="13">
        <v>124396.425</v>
      </c>
      <c r="L214" s="13">
        <v>4935.2209999999995</v>
      </c>
      <c r="M214" s="13">
        <v>480.017</v>
      </c>
      <c r="N214" s="13">
        <v>3037.3980000000001</v>
      </c>
      <c r="O214" s="13">
        <v>14685.182000000001</v>
      </c>
      <c r="P214" s="13">
        <v>33.343000000000004</v>
      </c>
      <c r="X214" s="2"/>
    </row>
    <row r="215" spans="1:24" ht="14.25" customHeight="1" x14ac:dyDescent="0.25">
      <c r="A215" s="15">
        <v>43714</v>
      </c>
      <c r="B215" s="15">
        <v>43728</v>
      </c>
      <c r="C215" s="15">
        <v>43741</v>
      </c>
      <c r="D215" s="13">
        <f t="shared" si="6"/>
        <v>1167051.355</v>
      </c>
      <c r="E215" s="13">
        <v>190861.42199999999</v>
      </c>
      <c r="F215" s="13">
        <v>171892.761</v>
      </c>
      <c r="G215" s="13">
        <v>536041.07400000002</v>
      </c>
      <c r="H215" s="13">
        <v>66458.334000000003</v>
      </c>
      <c r="I215" s="13">
        <v>15826.741</v>
      </c>
      <c r="J215" s="13">
        <v>37670.021999999997</v>
      </c>
      <c r="K215" s="13">
        <v>125029.22100000001</v>
      </c>
      <c r="L215" s="13">
        <v>5046.7340000000004</v>
      </c>
      <c r="M215" s="13">
        <v>479.95400000000001</v>
      </c>
      <c r="N215" s="13">
        <v>3866.1309999999999</v>
      </c>
      <c r="O215" s="13">
        <v>13844.912</v>
      </c>
      <c r="P215" s="13">
        <v>34.048999999999999</v>
      </c>
      <c r="X215" s="2"/>
    </row>
    <row r="216" spans="1:24" ht="14.25" customHeight="1" x14ac:dyDescent="0.25">
      <c r="A216" s="15">
        <v>43728</v>
      </c>
      <c r="B216" s="15">
        <v>43742</v>
      </c>
      <c r="C216" s="15">
        <v>43755</v>
      </c>
      <c r="D216" s="13">
        <f t="shared" si="6"/>
        <v>1191344.8370000003</v>
      </c>
      <c r="E216" s="13">
        <v>198896.728</v>
      </c>
      <c r="F216" s="13">
        <v>180087.11600000001</v>
      </c>
      <c r="G216" s="13">
        <v>543120.46900000004</v>
      </c>
      <c r="H216" s="13">
        <v>63327.247000000003</v>
      </c>
      <c r="I216" s="13">
        <v>16668.723999999998</v>
      </c>
      <c r="J216" s="13">
        <v>37351.237999999998</v>
      </c>
      <c r="K216" s="13">
        <v>128264.09699999999</v>
      </c>
      <c r="L216" s="13">
        <v>5320.4650000000001</v>
      </c>
      <c r="M216" s="13">
        <v>479.95400000000001</v>
      </c>
      <c r="N216" s="13">
        <v>3949.8620000000001</v>
      </c>
      <c r="O216" s="13">
        <v>13844.978999999999</v>
      </c>
      <c r="P216" s="13">
        <v>33.957999999999998</v>
      </c>
      <c r="X216" s="2"/>
    </row>
    <row r="217" spans="1:24" ht="14.25" customHeight="1" x14ac:dyDescent="0.25">
      <c r="A217" s="15">
        <v>43742</v>
      </c>
      <c r="B217" s="15">
        <v>43756</v>
      </c>
      <c r="C217" s="15">
        <v>43769</v>
      </c>
      <c r="D217" s="13">
        <f t="shared" si="6"/>
        <v>1186573.4079999996</v>
      </c>
      <c r="E217" s="13">
        <v>196215.136</v>
      </c>
      <c r="F217" s="13">
        <v>182357.16099999999</v>
      </c>
      <c r="G217" s="13">
        <v>547407.09499999997</v>
      </c>
      <c r="H217" s="13">
        <v>59265.279000000002</v>
      </c>
      <c r="I217" s="13">
        <v>17137.917000000001</v>
      </c>
      <c r="J217" s="13">
        <v>36353.510999999999</v>
      </c>
      <c r="K217" s="13">
        <v>124494.46799999999</v>
      </c>
      <c r="L217" s="13">
        <v>5088.8419999999996</v>
      </c>
      <c r="M217" s="13">
        <v>466.82900000000001</v>
      </c>
      <c r="N217" s="13">
        <v>3909.991</v>
      </c>
      <c r="O217" s="13">
        <v>13845.064</v>
      </c>
      <c r="P217" s="13">
        <v>32.115000000000002</v>
      </c>
      <c r="X217" s="2"/>
    </row>
    <row r="218" spans="1:24" ht="14.25" customHeight="1" x14ac:dyDescent="0.25">
      <c r="A218" s="15">
        <v>43756</v>
      </c>
      <c r="B218" s="15">
        <v>43770</v>
      </c>
      <c r="C218" s="15">
        <v>43783</v>
      </c>
      <c r="D218" s="13">
        <f t="shared" si="6"/>
        <v>1211522.308</v>
      </c>
      <c r="E218" s="13">
        <v>208971.15100000001</v>
      </c>
      <c r="F218" s="13">
        <v>194009.99400000001</v>
      </c>
      <c r="G218" s="13">
        <v>552467.81200000003</v>
      </c>
      <c r="H218" s="13">
        <v>56390.377</v>
      </c>
      <c r="I218" s="13">
        <v>16921.704000000002</v>
      </c>
      <c r="J218" s="13">
        <v>35729.415000000001</v>
      </c>
      <c r="K218" s="13">
        <v>123772.238</v>
      </c>
      <c r="L218" s="13">
        <v>5228.0240000000003</v>
      </c>
      <c r="M218" s="13">
        <v>266.15199999999999</v>
      </c>
      <c r="N218" s="13">
        <v>3891.1149999999998</v>
      </c>
      <c r="O218" s="13">
        <v>13845.147000000001</v>
      </c>
      <c r="P218" s="13">
        <v>29.178999999999998</v>
      </c>
      <c r="X218" s="2"/>
    </row>
    <row r="219" spans="1:24" ht="14.25" customHeight="1" x14ac:dyDescent="0.25">
      <c r="A219" s="15">
        <v>43770</v>
      </c>
      <c r="B219" s="15">
        <v>43784</v>
      </c>
      <c r="C219" s="15">
        <v>43797</v>
      </c>
      <c r="D219" s="13">
        <f t="shared" si="6"/>
        <v>1207858.1259999999</v>
      </c>
      <c r="E219" s="13">
        <v>203239.758</v>
      </c>
      <c r="F219" s="13">
        <v>181162.217</v>
      </c>
      <c r="G219" s="13">
        <v>572518.19799999997</v>
      </c>
      <c r="H219" s="13">
        <v>54167.940999999999</v>
      </c>
      <c r="I219" s="13">
        <v>17016.835999999999</v>
      </c>
      <c r="J219" s="13">
        <v>35097.737000000001</v>
      </c>
      <c r="K219" s="13">
        <v>121907.13499999999</v>
      </c>
      <c r="L219" s="13">
        <v>4590.7340000000004</v>
      </c>
      <c r="M219" s="13">
        <v>266.15199999999999</v>
      </c>
      <c r="N219" s="13">
        <v>4010.4450000000002</v>
      </c>
      <c r="O219" s="13">
        <v>13845.244000000001</v>
      </c>
      <c r="P219" s="13">
        <v>35.728999999999999</v>
      </c>
      <c r="X219" s="2"/>
    </row>
    <row r="220" spans="1:24" ht="14.25" customHeight="1" x14ac:dyDescent="0.25">
      <c r="A220" s="15">
        <v>43784</v>
      </c>
      <c r="B220" s="15">
        <v>43798</v>
      </c>
      <c r="C220" s="15">
        <v>43811</v>
      </c>
      <c r="D220" s="13">
        <f t="shared" si="6"/>
        <v>1239575.899</v>
      </c>
      <c r="E220" s="13">
        <v>215061.41800000001</v>
      </c>
      <c r="F220" s="13">
        <v>191810.33</v>
      </c>
      <c r="G220" s="13">
        <v>587333.03899999999</v>
      </c>
      <c r="H220" s="13">
        <v>51147.966</v>
      </c>
      <c r="I220" s="13">
        <v>16567.887999999999</v>
      </c>
      <c r="J220" s="13">
        <v>33870.163</v>
      </c>
      <c r="K220" s="13">
        <v>120129.382</v>
      </c>
      <c r="L220" s="13">
        <v>5519.5649999999996</v>
      </c>
      <c r="M220" s="13">
        <v>291.29399999999998</v>
      </c>
      <c r="N220" s="13">
        <v>3956.7130000000002</v>
      </c>
      <c r="O220" s="13">
        <v>13849.959000000001</v>
      </c>
      <c r="P220" s="13">
        <v>38.182000000000002</v>
      </c>
      <c r="X220" s="2"/>
    </row>
    <row r="221" spans="1:24" ht="14.25" customHeight="1" x14ac:dyDescent="0.25">
      <c r="A221" s="15">
        <v>43798</v>
      </c>
      <c r="B221" s="15">
        <v>43812</v>
      </c>
      <c r="C221" s="15">
        <v>43825</v>
      </c>
      <c r="D221" s="13">
        <f t="shared" si="6"/>
        <v>1237279.4440000001</v>
      </c>
      <c r="E221" s="13">
        <v>211683.52499999999</v>
      </c>
      <c r="F221" s="13">
        <v>192489.28899999999</v>
      </c>
      <c r="G221" s="13">
        <v>588068.18200000003</v>
      </c>
      <c r="H221" s="13">
        <v>49949.152000000002</v>
      </c>
      <c r="I221" s="13">
        <v>16812.379000000001</v>
      </c>
      <c r="J221" s="13">
        <v>32182.138999999999</v>
      </c>
      <c r="K221" s="13">
        <v>122621.269</v>
      </c>
      <c r="L221" s="13">
        <v>5399.3040000000001</v>
      </c>
      <c r="M221" s="13">
        <v>261.06299999999999</v>
      </c>
      <c r="N221" s="13">
        <v>3919.107</v>
      </c>
      <c r="O221" s="13">
        <v>13849.797</v>
      </c>
      <c r="P221" s="13">
        <v>44.238</v>
      </c>
      <c r="X221" s="2"/>
    </row>
    <row r="222" spans="1:24" ht="14.25" customHeight="1" x14ac:dyDescent="0.25">
      <c r="A222" s="15">
        <v>43812</v>
      </c>
      <c r="B222" s="15">
        <v>43826</v>
      </c>
      <c r="C222" s="15">
        <v>43839</v>
      </c>
      <c r="D222" s="13">
        <f t="shared" si="6"/>
        <v>1255462.733</v>
      </c>
      <c r="E222" s="13">
        <v>213476.291</v>
      </c>
      <c r="F222" s="13">
        <v>213537.92499999999</v>
      </c>
      <c r="G222" s="13">
        <v>588828.92500000005</v>
      </c>
      <c r="H222" s="13">
        <v>49470.767</v>
      </c>
      <c r="I222" s="13">
        <v>16168.169</v>
      </c>
      <c r="J222" s="13">
        <v>31903.74</v>
      </c>
      <c r="K222" s="13">
        <v>119243.743</v>
      </c>
      <c r="L222" s="13">
        <v>5161.0349999999999</v>
      </c>
      <c r="M222" s="13">
        <v>261</v>
      </c>
      <c r="N222" s="13">
        <v>3728.3040000000001</v>
      </c>
      <c r="O222" s="13">
        <v>13643.865</v>
      </c>
      <c r="P222" s="13">
        <v>38.969000000000001</v>
      </c>
      <c r="X222" s="2"/>
    </row>
    <row r="223" spans="1:24" ht="14.25" customHeight="1" x14ac:dyDescent="0.25">
      <c r="A223" s="15">
        <v>43826</v>
      </c>
      <c r="B223" s="15">
        <v>43840</v>
      </c>
      <c r="C223" s="15">
        <v>43853</v>
      </c>
      <c r="D223" s="13">
        <f t="shared" si="6"/>
        <v>1299943.0670000003</v>
      </c>
      <c r="E223" s="13">
        <v>237079.084</v>
      </c>
      <c r="F223" s="13">
        <v>223951.55100000001</v>
      </c>
      <c r="G223" s="13">
        <v>599411.51899999997</v>
      </c>
      <c r="H223" s="13">
        <v>48829.754000000001</v>
      </c>
      <c r="I223" s="13">
        <v>14738.924999999999</v>
      </c>
      <c r="J223" s="13">
        <v>32602.778999999999</v>
      </c>
      <c r="K223" s="13">
        <v>120182.18</v>
      </c>
      <c r="L223" s="13">
        <v>5142.9409999999998</v>
      </c>
      <c r="M223" s="13">
        <v>260.93799999999999</v>
      </c>
      <c r="N223" s="13">
        <v>3640.7809999999999</v>
      </c>
      <c r="O223" s="13">
        <v>14036.69</v>
      </c>
      <c r="P223" s="13">
        <v>65.924999999999997</v>
      </c>
      <c r="X223" s="2"/>
    </row>
    <row r="224" spans="1:24" ht="14.25" customHeight="1" x14ac:dyDescent="0.25">
      <c r="A224" s="15">
        <v>43840</v>
      </c>
      <c r="B224" s="15">
        <v>43854</v>
      </c>
      <c r="C224" s="15">
        <v>43867</v>
      </c>
      <c r="D224" s="13">
        <f t="shared" si="6"/>
        <v>1271029.588</v>
      </c>
      <c r="E224" s="13">
        <v>223493.685</v>
      </c>
      <c r="F224" s="13">
        <v>203665.41699999999</v>
      </c>
      <c r="G224" s="13">
        <v>605819.22100000002</v>
      </c>
      <c r="H224" s="13">
        <v>47795.677000000003</v>
      </c>
      <c r="I224" s="13">
        <v>14205.614</v>
      </c>
      <c r="J224" s="13">
        <v>33748.881999999998</v>
      </c>
      <c r="K224" s="13">
        <v>119299.44</v>
      </c>
      <c r="L224" s="13">
        <v>5058.3540000000003</v>
      </c>
      <c r="M224" s="13">
        <v>260.875</v>
      </c>
      <c r="N224" s="13">
        <v>3608.1709999999998</v>
      </c>
      <c r="O224" s="13">
        <v>14036.798000000001</v>
      </c>
      <c r="P224" s="13">
        <v>37.454000000000001</v>
      </c>
      <c r="X224" s="2"/>
    </row>
    <row r="225" spans="1:24" ht="14.25" customHeight="1" x14ac:dyDescent="0.25">
      <c r="A225" s="15">
        <v>43854</v>
      </c>
      <c r="B225" s="15">
        <v>43868</v>
      </c>
      <c r="C225" s="15">
        <v>43881</v>
      </c>
      <c r="D225" s="13">
        <f t="shared" si="6"/>
        <v>1301421.9809999999</v>
      </c>
      <c r="E225" s="13">
        <v>240219.48800000001</v>
      </c>
      <c r="F225" s="13">
        <v>218066.08300000001</v>
      </c>
      <c r="G225" s="13">
        <v>604706.56799999997</v>
      </c>
      <c r="H225" s="13">
        <v>47244.737999999998</v>
      </c>
      <c r="I225" s="13">
        <v>14052.982</v>
      </c>
      <c r="J225" s="13">
        <v>33602.841999999997</v>
      </c>
      <c r="K225" s="13">
        <v>120740.451</v>
      </c>
      <c r="L225" s="13">
        <v>4945.1729999999998</v>
      </c>
      <c r="M225" s="13">
        <v>260.875</v>
      </c>
      <c r="N225" s="13">
        <v>3510.78</v>
      </c>
      <c r="O225" s="13">
        <v>14036.914000000001</v>
      </c>
      <c r="P225" s="13">
        <v>35.087000000000003</v>
      </c>
      <c r="X225" s="2"/>
    </row>
    <row r="226" spans="1:24" ht="14.25" customHeight="1" x14ac:dyDescent="0.25">
      <c r="A226" s="15">
        <v>43868</v>
      </c>
      <c r="B226" s="15">
        <v>43882</v>
      </c>
      <c r="C226" s="15">
        <v>43895</v>
      </c>
      <c r="D226" s="13">
        <f t="shared" si="6"/>
        <v>1302212.0899999999</v>
      </c>
      <c r="E226" s="13">
        <v>241057.30100000001</v>
      </c>
      <c r="F226" s="13">
        <v>224594.024</v>
      </c>
      <c r="G226" s="13">
        <v>598067.48300000001</v>
      </c>
      <c r="H226" s="13">
        <v>46754.459000000003</v>
      </c>
      <c r="I226" s="13">
        <v>14117.071</v>
      </c>
      <c r="J226" s="13">
        <v>33741.635999999999</v>
      </c>
      <c r="K226" s="13">
        <v>121186.476</v>
      </c>
      <c r="L226" s="13">
        <v>4866.8490000000002</v>
      </c>
      <c r="M226" s="13">
        <v>260.875</v>
      </c>
      <c r="N226" s="13">
        <v>3484.203</v>
      </c>
      <c r="O226" s="13">
        <v>14037.045</v>
      </c>
      <c r="P226" s="13">
        <v>44.667999999999999</v>
      </c>
      <c r="X226" s="2"/>
    </row>
    <row r="227" spans="1:24" ht="14.25" customHeight="1" x14ac:dyDescent="0.25">
      <c r="A227" s="15">
        <v>43882</v>
      </c>
      <c r="B227" s="15">
        <v>43896</v>
      </c>
      <c r="C227" s="15">
        <v>43909</v>
      </c>
      <c r="D227" s="13">
        <f t="shared" si="6"/>
        <v>1311658.2959999999</v>
      </c>
      <c r="E227" s="13">
        <v>248576.511</v>
      </c>
      <c r="F227" s="13">
        <v>223131.13699999999</v>
      </c>
      <c r="G227" s="13">
        <v>596177.61</v>
      </c>
      <c r="H227" s="13">
        <v>46727.368000000002</v>
      </c>
      <c r="I227" s="13">
        <v>14394.597</v>
      </c>
      <c r="J227" s="13">
        <v>33806.15</v>
      </c>
      <c r="K227" s="13">
        <v>125250.11599999999</v>
      </c>
      <c r="L227" s="13">
        <v>6186.0749999999998</v>
      </c>
      <c r="M227" s="13">
        <v>260.68799999999999</v>
      </c>
      <c r="N227" s="13">
        <v>3478.5839999999998</v>
      </c>
      <c r="O227" s="13">
        <v>13629.843999999999</v>
      </c>
      <c r="P227" s="13">
        <v>39.616</v>
      </c>
      <c r="X227" s="2"/>
    </row>
    <row r="228" spans="1:24" ht="14.25" customHeight="1" x14ac:dyDescent="0.25">
      <c r="A228" s="15">
        <v>43896</v>
      </c>
      <c r="B228" s="15">
        <v>43910</v>
      </c>
      <c r="C228" s="15">
        <v>43923</v>
      </c>
      <c r="D228" s="13">
        <f t="shared" si="6"/>
        <v>1304025.156</v>
      </c>
      <c r="E228" s="13">
        <v>251563.36499999999</v>
      </c>
      <c r="F228" s="13">
        <v>213045.30499999999</v>
      </c>
      <c r="G228" s="13">
        <v>593784.58700000006</v>
      </c>
      <c r="H228" s="13">
        <v>47453.35</v>
      </c>
      <c r="I228" s="13">
        <v>14147.069</v>
      </c>
      <c r="J228" s="13">
        <v>34024.961000000003</v>
      </c>
      <c r="K228" s="13">
        <v>126463.769</v>
      </c>
      <c r="L228" s="13">
        <v>6148.9920000000002</v>
      </c>
      <c r="M228" s="13">
        <v>260.625</v>
      </c>
      <c r="N228" s="13">
        <v>3466.4929999999999</v>
      </c>
      <c r="O228" s="13">
        <v>13629.795</v>
      </c>
      <c r="P228" s="13">
        <v>36.844999999999999</v>
      </c>
      <c r="X228" s="2"/>
    </row>
    <row r="229" spans="1:24" ht="14.25" customHeight="1" x14ac:dyDescent="0.25">
      <c r="A229" s="15">
        <v>43910</v>
      </c>
      <c r="B229" s="15">
        <v>43924</v>
      </c>
      <c r="C229" s="15">
        <v>43937</v>
      </c>
      <c r="D229" s="13">
        <f t="shared" si="6"/>
        <v>1328394.977</v>
      </c>
      <c r="E229" s="13">
        <v>254400.79199999999</v>
      </c>
      <c r="F229" s="13">
        <v>228599.304</v>
      </c>
      <c r="G229" s="13">
        <v>596254.772</v>
      </c>
      <c r="H229" s="13">
        <v>46933.339</v>
      </c>
      <c r="I229" s="13">
        <v>14009.78</v>
      </c>
      <c r="J229" s="13">
        <v>34067.101999999999</v>
      </c>
      <c r="K229" s="13">
        <v>130590.92</v>
      </c>
      <c r="L229" s="13">
        <v>6192.7929999999997</v>
      </c>
      <c r="M229" s="13">
        <v>260.625</v>
      </c>
      <c r="N229" s="13">
        <v>3420.22</v>
      </c>
      <c r="O229" s="13">
        <v>13629.753000000001</v>
      </c>
      <c r="P229" s="13">
        <v>35.576999999999998</v>
      </c>
      <c r="X229" s="2"/>
    </row>
    <row r="230" spans="1:24" ht="14.25" customHeight="1" x14ac:dyDescent="0.25">
      <c r="A230" s="15">
        <v>43924</v>
      </c>
      <c r="B230" s="15">
        <v>43938</v>
      </c>
      <c r="C230" s="15">
        <v>43954</v>
      </c>
      <c r="D230" s="13">
        <f t="shared" si="6"/>
        <v>1366839.835</v>
      </c>
      <c r="E230" s="13">
        <v>273535.54499999998</v>
      </c>
      <c r="F230" s="13">
        <v>231820.69899999999</v>
      </c>
      <c r="G230" s="13">
        <v>619062.49399999995</v>
      </c>
      <c r="H230" s="13">
        <v>45674.394999999997</v>
      </c>
      <c r="I230" s="13">
        <v>13833.036</v>
      </c>
      <c r="J230" s="13">
        <v>33887.605000000003</v>
      </c>
      <c r="K230" s="13">
        <v>125576.762</v>
      </c>
      <c r="L230" s="13">
        <v>6102.1279999999997</v>
      </c>
      <c r="M230" s="13">
        <v>260.56299999999999</v>
      </c>
      <c r="N230" s="13">
        <v>3284.0349999999999</v>
      </c>
      <c r="O230" s="13">
        <v>13759.025</v>
      </c>
      <c r="P230" s="13">
        <v>43.548000000000002</v>
      </c>
      <c r="X230" s="2"/>
    </row>
    <row r="231" spans="1:24" ht="14.25" customHeight="1" x14ac:dyDescent="0.25">
      <c r="A231" s="15">
        <v>43938</v>
      </c>
      <c r="B231" s="15">
        <v>43955</v>
      </c>
      <c r="C231" s="15">
        <v>43965</v>
      </c>
      <c r="D231" s="13">
        <f t="shared" si="6"/>
        <v>1419165.2600000002</v>
      </c>
      <c r="E231" s="13">
        <v>308408.12</v>
      </c>
      <c r="F231" s="13">
        <v>240979.92499999999</v>
      </c>
      <c r="G231" s="13">
        <v>627614.92299999995</v>
      </c>
      <c r="H231" s="13">
        <v>44533.163999999997</v>
      </c>
      <c r="I231" s="13">
        <v>13480.127</v>
      </c>
      <c r="J231" s="13">
        <v>34133.735000000001</v>
      </c>
      <c r="K231" s="13">
        <v>127695.117</v>
      </c>
      <c r="L231" s="13">
        <v>5867.7030000000004</v>
      </c>
      <c r="M231" s="13">
        <v>260.56299999999999</v>
      </c>
      <c r="N231" s="13">
        <v>2508.7379999999998</v>
      </c>
      <c r="O231" s="13">
        <v>13629.704</v>
      </c>
      <c r="P231" s="13">
        <v>53.441000000000003</v>
      </c>
      <c r="X231" s="2"/>
    </row>
    <row r="232" spans="1:24" ht="14.25" customHeight="1" x14ac:dyDescent="0.25">
      <c r="A232" s="15">
        <v>43951</v>
      </c>
      <c r="B232" s="15">
        <v>43966</v>
      </c>
      <c r="C232" s="15">
        <v>43979</v>
      </c>
      <c r="D232" s="13">
        <f t="shared" si="6"/>
        <v>1469291.6140000001</v>
      </c>
      <c r="E232" s="13">
        <v>332424.59999999998</v>
      </c>
      <c r="F232" s="13">
        <v>248778.71599999999</v>
      </c>
      <c r="G232" s="13">
        <v>632888.75199999998</v>
      </c>
      <c r="H232" s="13">
        <v>44198.370999999999</v>
      </c>
      <c r="I232" s="13">
        <v>13136.007</v>
      </c>
      <c r="J232" s="13">
        <v>34476.659</v>
      </c>
      <c r="K232" s="13">
        <v>141069.71299999999</v>
      </c>
      <c r="L232" s="13">
        <v>5906.7889999999998</v>
      </c>
      <c r="M232" s="13">
        <v>225.56299999999999</v>
      </c>
      <c r="N232" s="13">
        <v>2507.4639999999999</v>
      </c>
      <c r="O232" s="13">
        <v>13627.956</v>
      </c>
      <c r="P232" s="13">
        <v>51.024000000000001</v>
      </c>
      <c r="X232" s="2"/>
    </row>
    <row r="233" spans="1:24" ht="14.25" customHeight="1" x14ac:dyDescent="0.25">
      <c r="A233" s="15">
        <v>43966</v>
      </c>
      <c r="B233" s="15">
        <v>43980</v>
      </c>
      <c r="C233" s="15">
        <v>43993</v>
      </c>
      <c r="D233" s="13">
        <f t="shared" si="6"/>
        <v>1510816.5169999998</v>
      </c>
      <c r="E233" s="13">
        <v>358145.96600000001</v>
      </c>
      <c r="F233" s="13">
        <v>247623.89199999999</v>
      </c>
      <c r="G233" s="13">
        <v>634861.52800000005</v>
      </c>
      <c r="H233" s="13">
        <v>44243.415999999997</v>
      </c>
      <c r="I233" s="13">
        <v>12711.06</v>
      </c>
      <c r="J233" s="13">
        <v>33967.091999999997</v>
      </c>
      <c r="K233" s="13">
        <v>157209.24400000001</v>
      </c>
      <c r="L233" s="13">
        <v>5713.7380000000003</v>
      </c>
      <c r="M233" s="13">
        <v>150.375</v>
      </c>
      <c r="N233" s="13">
        <v>2507.0729999999999</v>
      </c>
      <c r="O233" s="13">
        <v>13628.085999999999</v>
      </c>
      <c r="P233" s="13">
        <v>55.046999999999997</v>
      </c>
      <c r="X233" s="2"/>
    </row>
    <row r="234" spans="1:24" ht="14.25" customHeight="1" x14ac:dyDescent="0.25">
      <c r="A234" s="15">
        <v>43980</v>
      </c>
      <c r="B234" s="15">
        <v>43994</v>
      </c>
      <c r="C234" s="15">
        <v>44007</v>
      </c>
      <c r="D234" s="13">
        <f t="shared" si="6"/>
        <v>1486744.8070000003</v>
      </c>
      <c r="E234" s="13">
        <v>339327.71500000003</v>
      </c>
      <c r="F234" s="13">
        <v>236693.372</v>
      </c>
      <c r="G234" s="13">
        <v>632986.397</v>
      </c>
      <c r="H234" s="13">
        <v>43007.584000000003</v>
      </c>
      <c r="I234" s="13">
        <v>12153.036</v>
      </c>
      <c r="J234" s="13">
        <v>33249.46</v>
      </c>
      <c r="K234" s="13">
        <v>167222.908</v>
      </c>
      <c r="L234" s="13">
        <v>5728.04</v>
      </c>
      <c r="M234" s="13">
        <v>150.375</v>
      </c>
      <c r="N234" s="13">
        <v>2539.46</v>
      </c>
      <c r="O234" s="13">
        <v>13636.277</v>
      </c>
      <c r="P234" s="13">
        <v>50.183</v>
      </c>
      <c r="X234" s="2"/>
    </row>
    <row r="235" spans="1:24" ht="14.25" customHeight="1" x14ac:dyDescent="0.25">
      <c r="A235" s="15">
        <v>43994</v>
      </c>
      <c r="B235" s="15">
        <v>44008</v>
      </c>
      <c r="C235" s="15">
        <v>44021</v>
      </c>
      <c r="D235" s="13">
        <f t="shared" si="6"/>
        <v>1514264.882</v>
      </c>
      <c r="E235" s="13">
        <v>346514.71100000001</v>
      </c>
      <c r="F235" s="13">
        <v>249478.67300000001</v>
      </c>
      <c r="G235" s="13">
        <v>640353.66299999994</v>
      </c>
      <c r="H235" s="13">
        <v>43781.656000000003</v>
      </c>
      <c r="I235" s="13">
        <v>12008.638000000001</v>
      </c>
      <c r="J235" s="13">
        <v>32895.783000000003</v>
      </c>
      <c r="K235" s="13">
        <v>167618.01500000001</v>
      </c>
      <c r="L235" s="13">
        <v>5539.5969999999998</v>
      </c>
      <c r="M235" s="13">
        <v>450.31299999999999</v>
      </c>
      <c r="N235" s="13">
        <v>2067.9839999999999</v>
      </c>
      <c r="O235" s="13">
        <v>13503.550999999999</v>
      </c>
      <c r="P235" s="13">
        <v>52.298000000000002</v>
      </c>
      <c r="X235" s="2"/>
    </row>
    <row r="236" spans="1:24" ht="14.25" customHeight="1" x14ac:dyDescent="0.25">
      <c r="A236" s="15">
        <v>44008</v>
      </c>
      <c r="B236" s="15">
        <v>44022</v>
      </c>
      <c r="C236" s="15">
        <v>44035</v>
      </c>
      <c r="D236" s="13">
        <f t="shared" si="6"/>
        <v>1562391.7919999999</v>
      </c>
      <c r="E236" s="13">
        <v>368057.48300000001</v>
      </c>
      <c r="F236" s="13">
        <v>263300.18199999997</v>
      </c>
      <c r="G236" s="13">
        <v>657190.48600000003</v>
      </c>
      <c r="H236" s="13">
        <v>45084.635000000002</v>
      </c>
      <c r="I236" s="13">
        <v>11916.18</v>
      </c>
      <c r="J236" s="13">
        <v>31223.692999999999</v>
      </c>
      <c r="K236" s="13">
        <v>163132.25099999999</v>
      </c>
      <c r="L236" s="13">
        <v>6315.8739999999998</v>
      </c>
      <c r="M236" s="13">
        <v>425.25</v>
      </c>
      <c r="N236" s="13">
        <v>2057.6260000000002</v>
      </c>
      <c r="O236" s="13">
        <v>13491.933999999999</v>
      </c>
      <c r="P236" s="13">
        <v>196.19800000000001</v>
      </c>
      <c r="X236" s="2"/>
    </row>
    <row r="237" spans="1:24" ht="14.25" customHeight="1" x14ac:dyDescent="0.25">
      <c r="A237" s="15">
        <v>44022</v>
      </c>
      <c r="B237" s="15">
        <v>44036</v>
      </c>
      <c r="C237" s="15">
        <v>44049</v>
      </c>
      <c r="D237" s="13">
        <f t="shared" si="6"/>
        <v>1571358.1559999997</v>
      </c>
      <c r="E237" s="13">
        <v>368870.87300000002</v>
      </c>
      <c r="F237" s="13">
        <v>262385.57799999998</v>
      </c>
      <c r="G237" s="13">
        <v>670666.16299999994</v>
      </c>
      <c r="H237" s="13">
        <v>47122.436000000002</v>
      </c>
      <c r="I237" s="13">
        <v>11796.623</v>
      </c>
      <c r="J237" s="13">
        <v>30343.108</v>
      </c>
      <c r="K237" s="13">
        <v>156868.77299999999</v>
      </c>
      <c r="L237" s="13">
        <v>7210.4719999999998</v>
      </c>
      <c r="M237" s="13">
        <v>459.22800000000001</v>
      </c>
      <c r="N237" s="13">
        <v>2017.0820000000001</v>
      </c>
      <c r="O237" s="13">
        <v>13491.65</v>
      </c>
      <c r="P237" s="13">
        <v>126.17</v>
      </c>
      <c r="X237" s="2"/>
    </row>
    <row r="238" spans="1:24" ht="14.25" customHeight="1" x14ac:dyDescent="0.25">
      <c r="A238" s="15">
        <v>44036</v>
      </c>
      <c r="B238" s="15">
        <v>44050</v>
      </c>
      <c r="C238" s="15">
        <v>44063</v>
      </c>
      <c r="D238" s="13">
        <f t="shared" si="6"/>
        <v>1597506.5229999998</v>
      </c>
      <c r="E238" s="13">
        <v>380601.38900000002</v>
      </c>
      <c r="F238" s="13">
        <v>263969.10600000003</v>
      </c>
      <c r="G238" s="13">
        <v>671357.29200000002</v>
      </c>
      <c r="H238" s="13">
        <v>48633.93</v>
      </c>
      <c r="I238" s="13">
        <v>11396.764999999999</v>
      </c>
      <c r="J238" s="13">
        <v>30035.883000000002</v>
      </c>
      <c r="K238" s="13">
        <v>168136.269</v>
      </c>
      <c r="L238" s="13">
        <v>7725.5990000000002</v>
      </c>
      <c r="M238" s="13">
        <v>541.81700000000001</v>
      </c>
      <c r="N238" s="13">
        <v>1743.079</v>
      </c>
      <c r="O238" s="13">
        <v>13272.925999999999</v>
      </c>
      <c r="P238" s="13">
        <v>92.468000000000004</v>
      </c>
      <c r="X238" s="2"/>
    </row>
    <row r="239" spans="1:24" ht="14.25" customHeight="1" x14ac:dyDescent="0.25">
      <c r="A239" s="15">
        <v>44050</v>
      </c>
      <c r="B239" s="15">
        <v>44064</v>
      </c>
      <c r="C239" s="15">
        <v>44077</v>
      </c>
      <c r="D239" s="13">
        <f t="shared" si="6"/>
        <v>1547413.0829999999</v>
      </c>
      <c r="E239" s="13">
        <v>360225.43199999997</v>
      </c>
      <c r="F239" s="13">
        <v>250175.913</v>
      </c>
      <c r="G239" s="13">
        <v>660714.04399999999</v>
      </c>
      <c r="H239" s="13">
        <v>47973.368000000002</v>
      </c>
      <c r="I239" s="13">
        <v>11051.156999999999</v>
      </c>
      <c r="J239" s="13">
        <v>29664.456999999999</v>
      </c>
      <c r="K239" s="13">
        <v>164358.99799999999</v>
      </c>
      <c r="L239" s="13">
        <v>7584.6369999999997</v>
      </c>
      <c r="M239" s="13">
        <v>541.77</v>
      </c>
      <c r="N239" s="13">
        <v>1741.6079999999999</v>
      </c>
      <c r="O239" s="13">
        <v>13272.779</v>
      </c>
      <c r="P239" s="13">
        <v>108.92</v>
      </c>
      <c r="X239" s="2"/>
    </row>
    <row r="240" spans="1:24" ht="14.25" customHeight="1" x14ac:dyDescent="0.25">
      <c r="A240" s="15">
        <v>44064</v>
      </c>
      <c r="B240" s="15">
        <v>44078</v>
      </c>
      <c r="C240" s="15">
        <v>44091</v>
      </c>
      <c r="D240" s="13">
        <f t="shared" si="6"/>
        <v>1544334.7430000002</v>
      </c>
      <c r="E240" s="13">
        <v>351101.37</v>
      </c>
      <c r="F240" s="13">
        <v>252652.29199999999</v>
      </c>
      <c r="G240" s="13">
        <v>669921.38100000005</v>
      </c>
      <c r="H240" s="13">
        <v>46990.188000000002</v>
      </c>
      <c r="I240" s="13">
        <v>10204.991</v>
      </c>
      <c r="J240" s="13">
        <v>30076.381000000001</v>
      </c>
      <c r="K240" s="13">
        <v>160183.75</v>
      </c>
      <c r="L240" s="13">
        <v>7510.3339999999998</v>
      </c>
      <c r="M240" s="13">
        <v>530.58299999999997</v>
      </c>
      <c r="N240" s="13">
        <v>1739.3209999999999</v>
      </c>
      <c r="O240" s="13">
        <v>13272.707</v>
      </c>
      <c r="P240" s="13">
        <v>151.44499999999999</v>
      </c>
      <c r="X240" s="2"/>
    </row>
    <row r="241" spans="1:24" ht="14.25" customHeight="1" x14ac:dyDescent="0.25">
      <c r="A241" s="15">
        <v>44078</v>
      </c>
      <c r="B241" s="15">
        <v>44092</v>
      </c>
      <c r="C241" s="15">
        <v>44105</v>
      </c>
      <c r="D241" s="13">
        <f t="shared" si="6"/>
        <v>1534101.1470000001</v>
      </c>
      <c r="E241" s="13">
        <v>338040.21100000001</v>
      </c>
      <c r="F241" s="13">
        <v>241613.68</v>
      </c>
      <c r="G241" s="13">
        <v>687987.13800000004</v>
      </c>
      <c r="H241" s="13">
        <v>46558.188000000002</v>
      </c>
      <c r="I241" s="13">
        <v>10069.102999999999</v>
      </c>
      <c r="J241" s="13">
        <v>29008.168000000001</v>
      </c>
      <c r="K241" s="13">
        <v>157642.44099999999</v>
      </c>
      <c r="L241" s="13">
        <v>7530.3649999999998</v>
      </c>
      <c r="M241" s="13">
        <v>535.91999999999996</v>
      </c>
      <c r="N241" s="13">
        <v>1727.2159999999999</v>
      </c>
      <c r="O241" s="13">
        <v>13272.86</v>
      </c>
      <c r="P241" s="13">
        <v>115.857</v>
      </c>
      <c r="X241" s="2"/>
    </row>
    <row r="242" spans="1:24" ht="14.25" customHeight="1" x14ac:dyDescent="0.25">
      <c r="A242" s="15">
        <v>44092</v>
      </c>
      <c r="B242" s="15">
        <v>44106</v>
      </c>
      <c r="C242" s="15">
        <v>44119</v>
      </c>
      <c r="D242" s="13">
        <f t="shared" si="6"/>
        <v>1550993.902</v>
      </c>
      <c r="E242" s="13">
        <v>340392.06</v>
      </c>
      <c r="F242" s="13">
        <v>242302.193</v>
      </c>
      <c r="G242" s="13">
        <v>698471.978</v>
      </c>
      <c r="H242" s="13">
        <v>45355.474999999999</v>
      </c>
      <c r="I242" s="13">
        <v>9865.3919999999998</v>
      </c>
      <c r="J242" s="13">
        <v>28757.234</v>
      </c>
      <c r="K242" s="13">
        <v>162804.554</v>
      </c>
      <c r="L242" s="13">
        <v>7427.4690000000001</v>
      </c>
      <c r="M242" s="13">
        <v>560.46</v>
      </c>
      <c r="N242" s="13">
        <v>1680.9190000000001</v>
      </c>
      <c r="O242" s="13">
        <v>13272.785</v>
      </c>
      <c r="P242" s="13">
        <v>103.383</v>
      </c>
      <c r="X242" s="2"/>
    </row>
    <row r="243" spans="1:24" ht="14.25" customHeight="1" x14ac:dyDescent="0.25">
      <c r="A243" s="15">
        <v>44106</v>
      </c>
      <c r="B243" s="15">
        <v>44120</v>
      </c>
      <c r="C243" s="15">
        <v>44133</v>
      </c>
      <c r="D243" s="13">
        <f t="shared" si="6"/>
        <v>1529038.3990000004</v>
      </c>
      <c r="E243" s="13">
        <v>324234.516</v>
      </c>
      <c r="F243" s="13">
        <v>234521.07</v>
      </c>
      <c r="G243" s="13">
        <v>698903.1</v>
      </c>
      <c r="H243" s="13">
        <v>42310.097999999998</v>
      </c>
      <c r="I243" s="13">
        <v>9861.2829999999994</v>
      </c>
      <c r="J243" s="13">
        <v>27960.681</v>
      </c>
      <c r="K243" s="13">
        <v>168494.617</v>
      </c>
      <c r="L243" s="13">
        <v>7158.7790000000005</v>
      </c>
      <c r="M243" s="13">
        <v>560.92999999999995</v>
      </c>
      <c r="N243" s="13">
        <v>1671.4179999999999</v>
      </c>
      <c r="O243" s="13">
        <v>13272.701999999999</v>
      </c>
      <c r="P243" s="13">
        <v>89.204999999999998</v>
      </c>
      <c r="X243" s="2"/>
    </row>
    <row r="244" spans="1:24" ht="14.25" customHeight="1" x14ac:dyDescent="0.25">
      <c r="A244" s="15">
        <v>44120</v>
      </c>
      <c r="B244" s="15">
        <v>44134</v>
      </c>
      <c r="C244" s="15">
        <v>44147</v>
      </c>
      <c r="D244" s="13">
        <f t="shared" si="6"/>
        <v>1543274.983</v>
      </c>
      <c r="E244" s="13">
        <v>334622.23100000003</v>
      </c>
      <c r="F244" s="13">
        <v>239784.351</v>
      </c>
      <c r="G244" s="13">
        <v>700802.07400000002</v>
      </c>
      <c r="H244" s="13">
        <v>39997.673000000003</v>
      </c>
      <c r="I244" s="13">
        <v>10417.152</v>
      </c>
      <c r="J244" s="13">
        <v>28217.191000000003</v>
      </c>
      <c r="K244" s="13">
        <v>166707.53700000001</v>
      </c>
      <c r="L244" s="13">
        <v>7144.48</v>
      </c>
      <c r="M244" s="13">
        <v>563.12699999999995</v>
      </c>
      <c r="N244" s="13">
        <v>1666.9159999999999</v>
      </c>
      <c r="O244" s="13">
        <v>13272.569</v>
      </c>
      <c r="P244" s="13">
        <v>79.682000000000002</v>
      </c>
      <c r="X244" s="2"/>
    </row>
    <row r="245" spans="1:24" ht="14.25" customHeight="1" x14ac:dyDescent="0.25">
      <c r="A245" s="15">
        <v>44134</v>
      </c>
      <c r="B245" s="15">
        <v>44148</v>
      </c>
      <c r="C245" s="15">
        <v>44161</v>
      </c>
      <c r="D245" s="13">
        <f t="shared" si="6"/>
        <v>1513709.0279999999</v>
      </c>
      <c r="E245" s="13">
        <v>326560.98700000002</v>
      </c>
      <c r="F245" s="13">
        <v>236723.486</v>
      </c>
      <c r="G245" s="13">
        <v>691259.53500000003</v>
      </c>
      <c r="H245" s="13">
        <v>38331.266000000003</v>
      </c>
      <c r="I245" s="13">
        <v>11400.126</v>
      </c>
      <c r="J245" s="13">
        <v>27010.792000000001</v>
      </c>
      <c r="K245" s="13">
        <v>159916.348</v>
      </c>
      <c r="L245" s="13">
        <v>6917.24</v>
      </c>
      <c r="M245" s="13">
        <v>656.06799999999998</v>
      </c>
      <c r="N245" s="13">
        <v>1579.59</v>
      </c>
      <c r="O245" s="13">
        <v>13272.249</v>
      </c>
      <c r="P245" s="13">
        <v>81.340999999999994</v>
      </c>
      <c r="X245" s="2"/>
    </row>
    <row r="246" spans="1:24" ht="14.25" customHeight="1" x14ac:dyDescent="0.25">
      <c r="A246" s="15">
        <v>44148</v>
      </c>
      <c r="B246" s="15">
        <v>44162</v>
      </c>
      <c r="C246" s="15">
        <v>44175</v>
      </c>
      <c r="D246" s="13">
        <f t="shared" si="6"/>
        <v>1499722.5780000002</v>
      </c>
      <c r="E246" s="13">
        <v>309607.25699999998</v>
      </c>
      <c r="F246" s="13">
        <v>264129.22899999999</v>
      </c>
      <c r="G246" s="13">
        <v>665231.74699999997</v>
      </c>
      <c r="H246" s="13">
        <v>36672.137999999999</v>
      </c>
      <c r="I246" s="13">
        <v>11233.674000000001</v>
      </c>
      <c r="J246" s="13">
        <v>26437.383000000002</v>
      </c>
      <c r="K246" s="13">
        <v>163790.74</v>
      </c>
      <c r="L246" s="13">
        <v>7190.1819999999998</v>
      </c>
      <c r="M246" s="13">
        <v>615.57000000000005</v>
      </c>
      <c r="N246" s="13">
        <v>1429.125</v>
      </c>
      <c r="O246" s="13">
        <v>13272.369000000001</v>
      </c>
      <c r="P246" s="13">
        <v>113.164</v>
      </c>
      <c r="X246" s="2"/>
    </row>
    <row r="247" spans="1:24" ht="14.25" customHeight="1" x14ac:dyDescent="0.25">
      <c r="A247" s="15">
        <v>44162</v>
      </c>
      <c r="B247" s="15">
        <v>44176</v>
      </c>
      <c r="C247" s="15">
        <v>44189</v>
      </c>
      <c r="D247" s="13">
        <f t="shared" si="6"/>
        <v>1500460.1159999999</v>
      </c>
      <c r="E247" s="13">
        <v>298296.147</v>
      </c>
      <c r="F247" s="13">
        <v>255974.47</v>
      </c>
      <c r="G247" s="13">
        <v>683034.85499999998</v>
      </c>
      <c r="H247" s="13">
        <v>36360.067000000003</v>
      </c>
      <c r="I247" s="13">
        <v>11275.466</v>
      </c>
      <c r="J247" s="13">
        <v>26236.271000000001</v>
      </c>
      <c r="K247" s="13">
        <v>166543.052</v>
      </c>
      <c r="L247" s="13">
        <v>7278.6819999999998</v>
      </c>
      <c r="M247" s="13">
        <v>657.77700000000004</v>
      </c>
      <c r="N247" s="13">
        <v>1428.518</v>
      </c>
      <c r="O247" s="13">
        <v>13272.324000000001</v>
      </c>
      <c r="P247" s="13">
        <v>102.48699999999999</v>
      </c>
      <c r="X247" s="2"/>
    </row>
    <row r="248" spans="1:24" ht="14.25" customHeight="1" x14ac:dyDescent="0.25">
      <c r="A248" s="15">
        <v>44176</v>
      </c>
      <c r="B248" s="15">
        <v>44190</v>
      </c>
      <c r="C248" s="15">
        <v>44203</v>
      </c>
      <c r="D248" s="13">
        <f t="shared" si="6"/>
        <v>1497134.1860000002</v>
      </c>
      <c r="E248" s="13">
        <v>285941.201</v>
      </c>
      <c r="F248" s="13">
        <v>265688.48</v>
      </c>
      <c r="G248" s="13">
        <v>690543.79700000002</v>
      </c>
      <c r="H248" s="13">
        <v>38831.214999999997</v>
      </c>
      <c r="I248" s="13">
        <v>12168.434999999999</v>
      </c>
      <c r="J248" s="13">
        <v>24705.043000000001</v>
      </c>
      <c r="K248" s="13">
        <v>156562.106</v>
      </c>
      <c r="L248" s="13">
        <v>7240.8329999999996</v>
      </c>
      <c r="M248" s="13">
        <v>636.91499999999996</v>
      </c>
      <c r="N248" s="13">
        <v>1336.979</v>
      </c>
      <c r="O248" s="13">
        <v>13276.210999999999</v>
      </c>
      <c r="P248" s="13">
        <v>202.971</v>
      </c>
      <c r="X248" s="2"/>
    </row>
    <row r="249" spans="1:24" ht="14.25" customHeight="1" x14ac:dyDescent="0.25">
      <c r="A249" s="15">
        <v>44190</v>
      </c>
      <c r="B249" s="15">
        <v>44204</v>
      </c>
      <c r="C249" s="15">
        <v>44217</v>
      </c>
      <c r="D249" s="13">
        <f t="shared" si="6"/>
        <v>1532790.3079999997</v>
      </c>
      <c r="E249" s="13">
        <v>291912.43</v>
      </c>
      <c r="F249" s="13">
        <v>284146.27799999999</v>
      </c>
      <c r="G249" s="13">
        <v>689565.41099999996</v>
      </c>
      <c r="H249" s="13">
        <v>39766.18</v>
      </c>
      <c r="I249" s="13">
        <v>12719.454</v>
      </c>
      <c r="J249" s="13">
        <v>25714.273000000001</v>
      </c>
      <c r="K249" s="13">
        <v>166743.886</v>
      </c>
      <c r="L249" s="13">
        <v>7152.9780000000001</v>
      </c>
      <c r="M249" s="13">
        <v>604.83299999999997</v>
      </c>
      <c r="N249" s="13">
        <v>1134.681</v>
      </c>
      <c r="O249" s="13">
        <v>13268.815000000001</v>
      </c>
      <c r="P249" s="13">
        <v>61.088999999999999</v>
      </c>
      <c r="X249" s="2"/>
    </row>
    <row r="250" spans="1:24" ht="14.25" customHeight="1" x14ac:dyDescent="0.25">
      <c r="A250" s="15">
        <v>44204</v>
      </c>
      <c r="B250" s="15">
        <v>44218</v>
      </c>
      <c r="C250" s="15">
        <v>44231</v>
      </c>
      <c r="D250" s="13">
        <f t="shared" ref="D250:D282" si="7">+SUM(E250:Q250)</f>
        <v>1519839.7239999999</v>
      </c>
      <c r="E250" s="13">
        <v>276666.62300000002</v>
      </c>
      <c r="F250" s="13">
        <v>244875.78400000001</v>
      </c>
      <c r="G250" s="13">
        <v>733941.63800000004</v>
      </c>
      <c r="H250" s="13">
        <v>40764.241000000002</v>
      </c>
      <c r="I250" s="13">
        <v>14237.742</v>
      </c>
      <c r="J250" s="13">
        <v>29155.094000000001</v>
      </c>
      <c r="K250" s="13">
        <v>158072.65299999999</v>
      </c>
      <c r="L250" s="13">
        <v>7058.9939999999997</v>
      </c>
      <c r="M250" s="13">
        <v>613.84400000000005</v>
      </c>
      <c r="N250" s="13">
        <v>1126.6079999999999</v>
      </c>
      <c r="O250" s="13">
        <v>13273.04</v>
      </c>
      <c r="P250" s="13">
        <v>53.463000000000001</v>
      </c>
      <c r="X250" s="2"/>
    </row>
    <row r="251" spans="1:24" ht="14.25" customHeight="1" x14ac:dyDescent="0.25">
      <c r="A251" s="15">
        <v>44218</v>
      </c>
      <c r="B251" s="15">
        <v>44232</v>
      </c>
      <c r="C251" s="15">
        <v>44245</v>
      </c>
      <c r="D251" s="13">
        <f t="shared" si="7"/>
        <v>1540894.8169999998</v>
      </c>
      <c r="E251" s="13">
        <v>279190.77</v>
      </c>
      <c r="F251" s="13">
        <v>247435.44099999999</v>
      </c>
      <c r="G251" s="13">
        <v>740453.26199999999</v>
      </c>
      <c r="H251" s="13">
        <v>41518.944000000003</v>
      </c>
      <c r="I251" s="13">
        <v>15176.923000000001</v>
      </c>
      <c r="J251" s="13">
        <v>29463.828000000001</v>
      </c>
      <c r="K251" s="13">
        <v>165641.83799999999</v>
      </c>
      <c r="L251" s="13">
        <v>6918.1530000000002</v>
      </c>
      <c r="M251" s="13">
        <v>639.53</v>
      </c>
      <c r="N251" s="13">
        <v>1122.7619999999999</v>
      </c>
      <c r="O251" s="13">
        <v>13272.865</v>
      </c>
      <c r="P251" s="13">
        <v>60.500999999999998</v>
      </c>
      <c r="X251" s="2"/>
    </row>
    <row r="252" spans="1:24" ht="14.25" customHeight="1" x14ac:dyDescent="0.25">
      <c r="A252" s="15">
        <v>44232</v>
      </c>
      <c r="B252" s="15">
        <v>44246</v>
      </c>
      <c r="C252" s="15">
        <v>44259</v>
      </c>
      <c r="D252" s="13">
        <f t="shared" si="7"/>
        <v>1539527.0260000003</v>
      </c>
      <c r="E252" s="13">
        <v>280869.59499999997</v>
      </c>
      <c r="F252" s="13">
        <v>231999.91500000001</v>
      </c>
      <c r="G252" s="13">
        <v>748426.88100000005</v>
      </c>
      <c r="H252" s="13">
        <v>45260.531000000003</v>
      </c>
      <c r="I252" s="13">
        <v>16280.903</v>
      </c>
      <c r="J252" s="13">
        <v>30291.573</v>
      </c>
      <c r="K252" s="13">
        <v>164426.18599999999</v>
      </c>
      <c r="L252" s="13">
        <v>6801.49</v>
      </c>
      <c r="M252" s="13">
        <v>657.46900000000005</v>
      </c>
      <c r="N252" s="13">
        <v>1121.134</v>
      </c>
      <c r="O252" s="13">
        <v>13311.603999999999</v>
      </c>
      <c r="P252" s="13">
        <v>79.745000000000005</v>
      </c>
      <c r="X252" s="2"/>
    </row>
    <row r="253" spans="1:24" ht="14.25" customHeight="1" x14ac:dyDescent="0.25">
      <c r="A253" s="15">
        <v>44246</v>
      </c>
      <c r="B253" s="15">
        <v>44260</v>
      </c>
      <c r="C253" s="15">
        <v>44273</v>
      </c>
      <c r="D253" s="13">
        <f t="shared" si="7"/>
        <v>1560726.1520000002</v>
      </c>
      <c r="E253" s="13">
        <v>282585.96100000001</v>
      </c>
      <c r="F253" s="13">
        <v>237591.318</v>
      </c>
      <c r="G253" s="13">
        <v>754678.01100000006</v>
      </c>
      <c r="H253" s="13">
        <v>47871.536</v>
      </c>
      <c r="I253" s="13">
        <v>17601.814999999999</v>
      </c>
      <c r="J253" s="13">
        <v>31002.194</v>
      </c>
      <c r="K253" s="13">
        <v>166898.89799999999</v>
      </c>
      <c r="L253" s="13">
        <v>7060.3329999999996</v>
      </c>
      <c r="M253" s="13">
        <v>891.21900000000005</v>
      </c>
      <c r="N253" s="13">
        <v>1120.93</v>
      </c>
      <c r="O253" s="13">
        <v>13315.472</v>
      </c>
      <c r="P253" s="13">
        <v>108.465</v>
      </c>
      <c r="X253" s="2"/>
    </row>
    <row r="254" spans="1:24" ht="14.25" customHeight="1" x14ac:dyDescent="0.25">
      <c r="A254" s="15">
        <v>44260</v>
      </c>
      <c r="B254" s="15">
        <v>44274</v>
      </c>
      <c r="C254" s="15">
        <v>44287</v>
      </c>
      <c r="D254" s="13">
        <f t="shared" si="7"/>
        <v>1570906.1359999997</v>
      </c>
      <c r="E254" s="13">
        <v>283065.67499999999</v>
      </c>
      <c r="F254" s="13">
        <v>244261.91899999999</v>
      </c>
      <c r="G254" s="13">
        <v>751122.804</v>
      </c>
      <c r="H254" s="13">
        <v>48751.735999999997</v>
      </c>
      <c r="I254" s="13">
        <v>18428.106</v>
      </c>
      <c r="J254" s="13">
        <v>32273.745999999999</v>
      </c>
      <c r="K254" s="13">
        <v>169397.951</v>
      </c>
      <c r="L254" s="13">
        <v>8231.9770000000008</v>
      </c>
      <c r="M254" s="13">
        <v>883.73099999999999</v>
      </c>
      <c r="N254" s="13">
        <v>1086.8789999999999</v>
      </c>
      <c r="O254" s="13">
        <v>13315.17</v>
      </c>
      <c r="P254" s="13">
        <v>86.441999999999993</v>
      </c>
      <c r="X254" s="2"/>
    </row>
    <row r="255" spans="1:24" ht="14.25" customHeight="1" x14ac:dyDescent="0.25">
      <c r="A255" s="15">
        <v>44274</v>
      </c>
      <c r="B255" s="15">
        <v>44288</v>
      </c>
      <c r="C255" s="15">
        <v>44301</v>
      </c>
      <c r="D255" s="13">
        <f t="shared" si="7"/>
        <v>1603156.585</v>
      </c>
      <c r="E255" s="13">
        <v>289136.739</v>
      </c>
      <c r="F255" s="13">
        <v>284052.674</v>
      </c>
      <c r="G255" s="13">
        <v>728825.34199999995</v>
      </c>
      <c r="H255" s="13">
        <v>50340.27</v>
      </c>
      <c r="I255" s="13">
        <v>19121.670999999998</v>
      </c>
      <c r="J255" s="13">
        <v>33256.082000000002</v>
      </c>
      <c r="K255" s="13">
        <v>174591.774</v>
      </c>
      <c r="L255" s="13">
        <v>8455.7630000000008</v>
      </c>
      <c r="M255" s="13">
        <v>867.45399999999995</v>
      </c>
      <c r="N255" s="13">
        <v>1126.7719999999999</v>
      </c>
      <c r="O255" s="13">
        <v>13314.923000000001</v>
      </c>
      <c r="P255" s="13">
        <v>67.120999999999995</v>
      </c>
      <c r="X255" s="2"/>
    </row>
    <row r="256" spans="1:24" ht="14.25" customHeight="1" x14ac:dyDescent="0.25">
      <c r="A256" s="15">
        <v>44288</v>
      </c>
      <c r="B256" s="15">
        <v>44302</v>
      </c>
      <c r="C256" s="15">
        <v>44315</v>
      </c>
      <c r="D256" s="13">
        <f t="shared" si="7"/>
        <v>1659636.4409999999</v>
      </c>
      <c r="E256" s="13">
        <v>314263.96999999997</v>
      </c>
      <c r="F256" s="13">
        <v>265304.95899999997</v>
      </c>
      <c r="G256" s="13">
        <v>749732.26899999997</v>
      </c>
      <c r="H256" s="13">
        <v>68938.081999999995</v>
      </c>
      <c r="I256" s="13">
        <v>28985.86</v>
      </c>
      <c r="J256" s="13">
        <v>39152.608</v>
      </c>
      <c r="K256" s="13">
        <v>169744.76199999999</v>
      </c>
      <c r="L256" s="13">
        <v>8316.85</v>
      </c>
      <c r="M256" s="13">
        <v>875.06399999999996</v>
      </c>
      <c r="N256" s="13">
        <v>1121.127</v>
      </c>
      <c r="O256" s="13">
        <v>13143.710999999999</v>
      </c>
      <c r="P256" s="13">
        <v>57.179000000000002</v>
      </c>
      <c r="X256" s="2"/>
    </row>
    <row r="257" spans="1:24" ht="14.25" customHeight="1" x14ac:dyDescent="0.25">
      <c r="A257" s="15">
        <v>44302</v>
      </c>
      <c r="B257" s="15">
        <v>44316</v>
      </c>
      <c r="C257" s="15">
        <v>44332</v>
      </c>
      <c r="D257" s="13">
        <f t="shared" si="7"/>
        <v>1680969.0719999999</v>
      </c>
      <c r="E257" s="13">
        <v>320733.19199999998</v>
      </c>
      <c r="F257" s="13">
        <v>270189.06199999998</v>
      </c>
      <c r="G257" s="13">
        <v>756231.96699999995</v>
      </c>
      <c r="H257" s="13">
        <v>68684.957999999999</v>
      </c>
      <c r="I257" s="13">
        <v>29860.597000000002</v>
      </c>
      <c r="J257" s="13">
        <v>39301.5</v>
      </c>
      <c r="K257" s="13">
        <v>172819.21900000001</v>
      </c>
      <c r="L257" s="13">
        <v>8097.9520000000002</v>
      </c>
      <c r="M257" s="13">
        <v>883.99800000000005</v>
      </c>
      <c r="N257" s="13">
        <v>1030.4359999999999</v>
      </c>
      <c r="O257" s="13">
        <v>13080.425999999999</v>
      </c>
      <c r="P257" s="13">
        <v>55.765000000000001</v>
      </c>
      <c r="X257" s="2"/>
    </row>
    <row r="258" spans="1:24" ht="14.25" customHeight="1" x14ac:dyDescent="0.25">
      <c r="A258" s="15">
        <v>44316</v>
      </c>
      <c r="B258" s="15">
        <v>44333</v>
      </c>
      <c r="C258" s="15">
        <v>44343</v>
      </c>
      <c r="D258" s="13">
        <f t="shared" si="7"/>
        <v>1671506.932</v>
      </c>
      <c r="E258" s="13">
        <v>314006.53399999999</v>
      </c>
      <c r="F258" s="13">
        <v>257208.73499999999</v>
      </c>
      <c r="G258" s="13">
        <v>766558.93700000003</v>
      </c>
      <c r="H258" s="13">
        <v>69902.27</v>
      </c>
      <c r="I258" s="13">
        <v>29591.698</v>
      </c>
      <c r="J258" s="13">
        <v>39550.491999999998</v>
      </c>
      <c r="K258" s="13">
        <v>170993.826</v>
      </c>
      <c r="L258" s="13">
        <v>8701.0519999999997</v>
      </c>
      <c r="M258" s="13">
        <v>895.65800000000002</v>
      </c>
      <c r="N258" s="13">
        <v>959.11099999999999</v>
      </c>
      <c r="O258" s="13">
        <v>13080.088</v>
      </c>
      <c r="P258" s="13">
        <v>58.530999999999999</v>
      </c>
      <c r="X258" s="2"/>
    </row>
    <row r="259" spans="1:24" ht="14.25" customHeight="1" x14ac:dyDescent="0.25">
      <c r="A259" s="15">
        <v>44328</v>
      </c>
      <c r="B259" s="15">
        <v>44344</v>
      </c>
      <c r="C259" s="15">
        <v>44357</v>
      </c>
      <c r="D259" s="13">
        <f t="shared" si="7"/>
        <v>1703162.1659999995</v>
      </c>
      <c r="E259" s="13">
        <v>333738.93</v>
      </c>
      <c r="F259" s="13">
        <v>273611.24</v>
      </c>
      <c r="G259" s="13">
        <v>764316.10699999996</v>
      </c>
      <c r="H259" s="13">
        <v>70523.676000000007</v>
      </c>
      <c r="I259" s="13">
        <v>29815.672999999999</v>
      </c>
      <c r="J259" s="13">
        <v>39574.608999999997</v>
      </c>
      <c r="K259" s="13">
        <v>167445.31400000001</v>
      </c>
      <c r="L259" s="13">
        <v>8853.0509999999995</v>
      </c>
      <c r="M259" s="13">
        <v>881.03700000000003</v>
      </c>
      <c r="N259" s="13">
        <v>1267.701</v>
      </c>
      <c r="O259" s="13">
        <v>13081.037</v>
      </c>
      <c r="P259" s="13">
        <v>53.790999999999997</v>
      </c>
      <c r="X259" s="2"/>
    </row>
    <row r="260" spans="1:24" ht="14.25" customHeight="1" x14ac:dyDescent="0.25">
      <c r="A260" s="15">
        <v>44344</v>
      </c>
      <c r="B260" s="15">
        <v>44358</v>
      </c>
      <c r="C260" s="15">
        <v>44371</v>
      </c>
      <c r="D260" s="13">
        <f t="shared" si="7"/>
        <v>1719162.4550000001</v>
      </c>
      <c r="E260" s="13">
        <v>338851.42599999998</v>
      </c>
      <c r="F260" s="13">
        <v>274588.63199999998</v>
      </c>
      <c r="G260" s="13">
        <v>767022.65099999995</v>
      </c>
      <c r="H260" s="13">
        <v>71483.418999999994</v>
      </c>
      <c r="I260" s="13">
        <v>30416.454000000002</v>
      </c>
      <c r="J260" s="13">
        <v>39906.383999999998</v>
      </c>
      <c r="K260" s="13">
        <v>172922.43400000001</v>
      </c>
      <c r="L260" s="13">
        <v>8675.3539999999994</v>
      </c>
      <c r="M260" s="13">
        <v>889.12099999999998</v>
      </c>
      <c r="N260" s="13">
        <v>1267.597</v>
      </c>
      <c r="O260" s="13">
        <v>13080.602000000001</v>
      </c>
      <c r="P260" s="13">
        <v>58.381</v>
      </c>
      <c r="X260" s="2"/>
    </row>
    <row r="261" spans="1:24" ht="14.25" customHeight="1" x14ac:dyDescent="0.25">
      <c r="A261" s="15">
        <v>44358</v>
      </c>
      <c r="B261" s="15">
        <v>44372</v>
      </c>
      <c r="C261" s="15">
        <v>44385</v>
      </c>
      <c r="D261" s="13">
        <f t="shared" si="7"/>
        <v>1734194.3029999998</v>
      </c>
      <c r="E261" s="13">
        <v>339827.114</v>
      </c>
      <c r="F261" s="13">
        <v>276853.913</v>
      </c>
      <c r="G261" s="13">
        <v>771584.53500000003</v>
      </c>
      <c r="H261" s="13">
        <v>72645.89</v>
      </c>
      <c r="I261" s="13">
        <v>30948.214</v>
      </c>
      <c r="J261" s="13">
        <v>41609.114000000001</v>
      </c>
      <c r="K261" s="13">
        <v>177043.44500000001</v>
      </c>
      <c r="L261" s="13">
        <v>8493.6759999999995</v>
      </c>
      <c r="M261" s="13">
        <v>896.63099999999997</v>
      </c>
      <c r="N261" s="13">
        <v>1137.7239999999999</v>
      </c>
      <c r="O261" s="13">
        <v>13080.48</v>
      </c>
      <c r="P261" s="13">
        <v>73.566999999999993</v>
      </c>
      <c r="X261" s="2"/>
    </row>
    <row r="262" spans="1:24" ht="14.25" customHeight="1" x14ac:dyDescent="0.25">
      <c r="A262" s="15">
        <v>44372</v>
      </c>
      <c r="B262" s="15">
        <v>44386</v>
      </c>
      <c r="C262" s="15">
        <v>44402</v>
      </c>
      <c r="D262" s="13">
        <f t="shared" si="7"/>
        <v>1773756.2270000002</v>
      </c>
      <c r="E262" s="13">
        <v>352198.71899999998</v>
      </c>
      <c r="F262" s="13">
        <v>281718.516</v>
      </c>
      <c r="G262" s="13">
        <v>796795.42200000002</v>
      </c>
      <c r="H262" s="13">
        <v>68947.247000000003</v>
      </c>
      <c r="I262" s="13">
        <v>30664.752</v>
      </c>
      <c r="J262" s="13">
        <v>40848.025999999998</v>
      </c>
      <c r="K262" s="13">
        <v>179025.35</v>
      </c>
      <c r="L262" s="13">
        <v>8382.89</v>
      </c>
      <c r="M262" s="13">
        <v>898.30499999999995</v>
      </c>
      <c r="N262" s="13">
        <v>1127.4269999999999</v>
      </c>
      <c r="O262" s="13">
        <v>13080.127</v>
      </c>
      <c r="P262" s="13">
        <v>69.445999999999998</v>
      </c>
      <c r="X262" s="2"/>
    </row>
    <row r="263" spans="1:24" ht="14.25" customHeight="1" x14ac:dyDescent="0.25">
      <c r="A263" s="15">
        <v>44386</v>
      </c>
      <c r="B263" s="15">
        <v>44403</v>
      </c>
      <c r="C263" s="15">
        <v>44413</v>
      </c>
      <c r="D263" s="13">
        <f t="shared" si="7"/>
        <v>1782444.0589999999</v>
      </c>
      <c r="E263" s="13">
        <v>351535.72700000001</v>
      </c>
      <c r="F263" s="13">
        <v>284512.967</v>
      </c>
      <c r="G263" s="13">
        <v>804481.35699999996</v>
      </c>
      <c r="H263" s="13">
        <v>62568.716999999997</v>
      </c>
      <c r="I263" s="13">
        <v>30963.192999999999</v>
      </c>
      <c r="J263" s="13">
        <v>41511.959000000003</v>
      </c>
      <c r="K263" s="13">
        <v>183606.57399999999</v>
      </c>
      <c r="L263" s="13">
        <v>8085.8590000000004</v>
      </c>
      <c r="M263" s="13">
        <v>900.14300000000003</v>
      </c>
      <c r="N263" s="13">
        <v>1120.845</v>
      </c>
      <c r="O263" s="13">
        <v>13079.745000000001</v>
      </c>
      <c r="P263" s="13">
        <v>76.972999999999999</v>
      </c>
      <c r="X263" s="2"/>
    </row>
    <row r="264" spans="1:24" ht="14.25" customHeight="1" x14ac:dyDescent="0.25">
      <c r="A264" s="15">
        <v>44396</v>
      </c>
      <c r="B264" s="15">
        <v>44414</v>
      </c>
      <c r="C264" s="15">
        <v>44427</v>
      </c>
      <c r="D264" s="13">
        <f t="shared" si="7"/>
        <v>1824656.7390000001</v>
      </c>
      <c r="E264" s="13">
        <v>371981.19</v>
      </c>
      <c r="F264" s="13">
        <v>297606.74900000001</v>
      </c>
      <c r="G264" s="13">
        <v>810032.1</v>
      </c>
      <c r="H264" s="13">
        <v>62139.495999999999</v>
      </c>
      <c r="I264" s="13">
        <v>30977.562999999998</v>
      </c>
      <c r="J264" s="13">
        <v>41361.548000000003</v>
      </c>
      <c r="K264" s="13">
        <v>186948.641</v>
      </c>
      <c r="L264" s="13">
        <v>8444.4459999999999</v>
      </c>
      <c r="M264" s="13">
        <v>900.08100000000002</v>
      </c>
      <c r="N264" s="13">
        <v>1116.999</v>
      </c>
      <c r="O264" s="13">
        <v>13079.527</v>
      </c>
      <c r="P264" s="13">
        <v>68.399000000000001</v>
      </c>
      <c r="X264" s="2"/>
    </row>
    <row r="265" spans="1:24" ht="14.25" customHeight="1" x14ac:dyDescent="0.25">
      <c r="A265" s="15">
        <v>44414</v>
      </c>
      <c r="B265" s="15">
        <v>44428</v>
      </c>
      <c r="C265" s="15">
        <v>44441</v>
      </c>
      <c r="D265" s="13">
        <f t="shared" si="7"/>
        <v>1806076.7209999997</v>
      </c>
      <c r="E265" s="13">
        <v>353716.609</v>
      </c>
      <c r="F265" s="13">
        <v>285600.43699999998</v>
      </c>
      <c r="G265" s="13">
        <v>825974.06599999999</v>
      </c>
      <c r="H265" s="13">
        <v>60695.998</v>
      </c>
      <c r="I265" s="13">
        <v>31249.002</v>
      </c>
      <c r="J265" s="13">
        <v>42518.758000000002</v>
      </c>
      <c r="K265" s="13">
        <v>182543.014</v>
      </c>
      <c r="L265" s="13">
        <v>8603.24</v>
      </c>
      <c r="M265" s="13">
        <v>890.12599999999998</v>
      </c>
      <c r="N265" s="13">
        <v>1119.5229999999999</v>
      </c>
      <c r="O265" s="13">
        <v>13079.19</v>
      </c>
      <c r="P265" s="13">
        <v>86.757999999999996</v>
      </c>
      <c r="X265" s="2"/>
    </row>
    <row r="266" spans="1:24" ht="14.25" customHeight="1" x14ac:dyDescent="0.25">
      <c r="A266" s="15">
        <v>44428</v>
      </c>
      <c r="B266" s="15">
        <v>44442</v>
      </c>
      <c r="C266" s="15">
        <v>44455</v>
      </c>
      <c r="D266" s="13">
        <f t="shared" si="7"/>
        <v>1818864.7050000001</v>
      </c>
      <c r="E266" s="13">
        <v>353253.087</v>
      </c>
      <c r="F266" s="13">
        <v>281767.826</v>
      </c>
      <c r="G266" s="13">
        <v>839236.83299999998</v>
      </c>
      <c r="H266" s="13">
        <v>61209.495000000003</v>
      </c>
      <c r="I266" s="13">
        <v>30399.859</v>
      </c>
      <c r="J266" s="13">
        <v>42724.707999999999</v>
      </c>
      <c r="K266" s="13">
        <v>186336.87599999999</v>
      </c>
      <c r="L266" s="13">
        <v>8802.1610000000001</v>
      </c>
      <c r="M266" s="13">
        <v>887.13900000000001</v>
      </c>
      <c r="N266" s="13">
        <v>1081.8440000000001</v>
      </c>
      <c r="O266" s="13">
        <v>13078.985000000001</v>
      </c>
      <c r="P266" s="13">
        <v>85.891999999999996</v>
      </c>
      <c r="X266" s="2"/>
    </row>
    <row r="267" spans="1:24" ht="14.25" customHeight="1" x14ac:dyDescent="0.25">
      <c r="A267" s="15">
        <v>44442</v>
      </c>
      <c r="B267" s="15">
        <v>44456</v>
      </c>
      <c r="C267" s="15">
        <v>44469</v>
      </c>
      <c r="D267" s="13">
        <f t="shared" si="7"/>
        <v>1824884.4029999997</v>
      </c>
      <c r="E267" s="13">
        <v>350937.32799999998</v>
      </c>
      <c r="F267" s="13">
        <v>293764.51899999997</v>
      </c>
      <c r="G267" s="13">
        <v>831786.03799999994</v>
      </c>
      <c r="H267" s="13">
        <v>60058.555</v>
      </c>
      <c r="I267" s="13">
        <v>31428.073</v>
      </c>
      <c r="J267" s="13">
        <v>42942.010999999999</v>
      </c>
      <c r="K267" s="13">
        <v>189943.772</v>
      </c>
      <c r="L267" s="13">
        <v>8906.8379999999997</v>
      </c>
      <c r="M267" s="13">
        <v>887.51400000000001</v>
      </c>
      <c r="N267" s="13">
        <v>1084.06</v>
      </c>
      <c r="O267" s="13">
        <v>13078.777</v>
      </c>
      <c r="P267" s="13">
        <v>66.918000000000006</v>
      </c>
      <c r="X267" s="2"/>
    </row>
    <row r="268" spans="1:24" ht="14.25" customHeight="1" x14ac:dyDescent="0.25">
      <c r="A268" s="15">
        <v>44456</v>
      </c>
      <c r="B268" s="15">
        <v>44470</v>
      </c>
      <c r="C268" s="15">
        <v>44483</v>
      </c>
      <c r="D268" s="13">
        <f t="shared" si="7"/>
        <v>1870488.706</v>
      </c>
      <c r="E268" s="13">
        <v>369599.45799999998</v>
      </c>
      <c r="F268" s="13">
        <v>311861.51</v>
      </c>
      <c r="G268" s="13">
        <v>834252.853</v>
      </c>
      <c r="H268" s="13">
        <v>63786.81</v>
      </c>
      <c r="I268" s="13">
        <v>32255.339</v>
      </c>
      <c r="J268" s="13">
        <v>42620.303999999996</v>
      </c>
      <c r="K268" s="13">
        <v>192137.101</v>
      </c>
      <c r="L268" s="13">
        <v>8890.0249999999996</v>
      </c>
      <c r="M268" s="13">
        <v>888.18399999999997</v>
      </c>
      <c r="N268" s="13">
        <v>1037.7629999999999</v>
      </c>
      <c r="O268" s="13">
        <v>13078.543</v>
      </c>
      <c r="P268" s="13">
        <v>80.816000000000003</v>
      </c>
      <c r="X268" s="2"/>
    </row>
    <row r="269" spans="1:24" ht="14.25" customHeight="1" x14ac:dyDescent="0.25">
      <c r="A269" s="15">
        <v>44470</v>
      </c>
      <c r="B269" s="15">
        <v>44484</v>
      </c>
      <c r="C269" s="15">
        <v>44500</v>
      </c>
      <c r="D269" s="13">
        <f t="shared" si="7"/>
        <v>1896035.9850000001</v>
      </c>
      <c r="E269" s="13">
        <v>368635.64799999999</v>
      </c>
      <c r="F269" s="13">
        <v>308006.73</v>
      </c>
      <c r="G269" s="13">
        <v>870403.60400000005</v>
      </c>
      <c r="H269" s="13">
        <v>63036.989000000001</v>
      </c>
      <c r="I269" s="13">
        <v>27849.118999999999</v>
      </c>
      <c r="J269" s="13">
        <v>43546.065999999999</v>
      </c>
      <c r="K269" s="13">
        <v>190391.72</v>
      </c>
      <c r="L269" s="13">
        <v>9188.5920000000006</v>
      </c>
      <c r="M269" s="13">
        <v>879.84799999999996</v>
      </c>
      <c r="N269" s="13">
        <v>921.62900000000002</v>
      </c>
      <c r="O269" s="13">
        <v>13078.377</v>
      </c>
      <c r="P269" s="13">
        <v>97.662999999999997</v>
      </c>
      <c r="X269" s="2"/>
    </row>
    <row r="270" spans="1:24" ht="14.25" customHeight="1" x14ac:dyDescent="0.25">
      <c r="A270" s="15">
        <v>44484</v>
      </c>
      <c r="B270" s="15">
        <v>44501</v>
      </c>
      <c r="C270" s="15">
        <v>44511</v>
      </c>
      <c r="D270" s="13">
        <f t="shared" si="7"/>
        <v>1954032.7610000002</v>
      </c>
      <c r="E270" s="13">
        <v>397887.21399999998</v>
      </c>
      <c r="F270" s="13">
        <v>330305.32699999999</v>
      </c>
      <c r="G270" s="13">
        <v>874171.01399999997</v>
      </c>
      <c r="H270" s="13">
        <v>61171.762000000002</v>
      </c>
      <c r="I270" s="13">
        <v>26801.323</v>
      </c>
      <c r="J270" s="13">
        <v>43263.125</v>
      </c>
      <c r="K270" s="13">
        <v>196249.64199999999</v>
      </c>
      <c r="L270" s="13">
        <v>9220.4940000000006</v>
      </c>
      <c r="M270" s="13">
        <v>874.12699999999995</v>
      </c>
      <c r="N270" s="13">
        <v>925.05799999999999</v>
      </c>
      <c r="O270" s="13">
        <v>13078.227000000001</v>
      </c>
      <c r="P270" s="13">
        <v>85.447999999999993</v>
      </c>
      <c r="X270" s="2"/>
    </row>
    <row r="271" spans="1:24" ht="14.25" customHeight="1" x14ac:dyDescent="0.25">
      <c r="A271" s="15">
        <v>44497</v>
      </c>
      <c r="B271" s="15">
        <v>44512</v>
      </c>
      <c r="C271" s="15">
        <v>44525</v>
      </c>
      <c r="D271" s="13">
        <f t="shared" si="7"/>
        <v>1979300.5269999995</v>
      </c>
      <c r="E271" s="13">
        <v>405232.739</v>
      </c>
      <c r="F271" s="13">
        <v>337444.29599999997</v>
      </c>
      <c r="G271" s="13">
        <v>881164.59499999997</v>
      </c>
      <c r="H271" s="13">
        <v>60386.510999999999</v>
      </c>
      <c r="I271" s="13">
        <v>26420.905999999999</v>
      </c>
      <c r="J271" s="13">
        <v>43276.025000000001</v>
      </c>
      <c r="K271" s="13">
        <v>201185.85500000001</v>
      </c>
      <c r="L271" s="13">
        <v>9283.1029999999992</v>
      </c>
      <c r="M271" s="13">
        <v>884.62900000000002</v>
      </c>
      <c r="N271" s="13">
        <v>844.88599999999997</v>
      </c>
      <c r="O271" s="13">
        <v>13077.966</v>
      </c>
      <c r="P271" s="13">
        <v>99.016000000000005</v>
      </c>
      <c r="X271" s="2"/>
    </row>
    <row r="272" spans="1:24" ht="14.25" customHeight="1" x14ac:dyDescent="0.25">
      <c r="A272" s="15">
        <v>44512</v>
      </c>
      <c r="B272" s="15">
        <v>44526</v>
      </c>
      <c r="C272" s="15">
        <v>44539</v>
      </c>
      <c r="D272" s="13">
        <f t="shared" si="7"/>
        <v>1990466.5119999999</v>
      </c>
      <c r="E272" s="13">
        <v>408503.429</v>
      </c>
      <c r="F272" s="13">
        <v>354117.7</v>
      </c>
      <c r="G272" s="13">
        <v>870346.79599999997</v>
      </c>
      <c r="H272" s="13">
        <v>59476.811000000002</v>
      </c>
      <c r="I272" s="13">
        <v>26192.718000000001</v>
      </c>
      <c r="J272" s="13">
        <v>43695.156000000003</v>
      </c>
      <c r="K272" s="13">
        <v>204267.774</v>
      </c>
      <c r="L272" s="13">
        <v>9109.3310000000001</v>
      </c>
      <c r="M272" s="13">
        <v>887.80399999999997</v>
      </c>
      <c r="N272" s="13">
        <v>844.72299999999996</v>
      </c>
      <c r="O272" s="13">
        <v>12877.687</v>
      </c>
      <c r="P272" s="13">
        <v>146.583</v>
      </c>
      <c r="X272" s="2"/>
    </row>
    <row r="273" spans="1:24" ht="14.25" customHeight="1" x14ac:dyDescent="0.25">
      <c r="A273" s="15">
        <v>44526</v>
      </c>
      <c r="B273" s="15">
        <v>44540</v>
      </c>
      <c r="C273" s="15">
        <v>44553</v>
      </c>
      <c r="D273" s="13">
        <f t="shared" si="7"/>
        <v>2001268.9809999999</v>
      </c>
      <c r="E273" s="13">
        <v>438648.80099999998</v>
      </c>
      <c r="F273" s="13">
        <v>352757.11900000001</v>
      </c>
      <c r="G273" s="13">
        <v>848181.31299999997</v>
      </c>
      <c r="H273" s="13">
        <v>58067.671999999999</v>
      </c>
      <c r="I273" s="13">
        <v>25401.055</v>
      </c>
      <c r="J273" s="13">
        <v>43422.474000000002</v>
      </c>
      <c r="K273" s="13">
        <v>211145.913</v>
      </c>
      <c r="L273" s="13">
        <v>8925.1980000000003</v>
      </c>
      <c r="M273" s="13">
        <v>886.83399999999995</v>
      </c>
      <c r="N273" s="13">
        <v>844.25300000000004</v>
      </c>
      <c r="O273" s="13">
        <v>12873.594999999999</v>
      </c>
      <c r="P273" s="13">
        <v>114.754</v>
      </c>
      <c r="X273" s="2"/>
    </row>
    <row r="274" spans="1:24" ht="14.25" customHeight="1" x14ac:dyDescent="0.25">
      <c r="A274" s="15">
        <v>44540</v>
      </c>
      <c r="B274" s="15">
        <v>44554</v>
      </c>
      <c r="C274" s="15">
        <v>44567</v>
      </c>
      <c r="D274" s="13">
        <f t="shared" si="7"/>
        <v>2015904.9820000003</v>
      </c>
      <c r="E274" s="13">
        <v>453141.68900000001</v>
      </c>
      <c r="F274" s="13">
        <v>374594.32900000003</v>
      </c>
      <c r="G274" s="13">
        <v>832366.26100000006</v>
      </c>
      <c r="H274" s="13">
        <v>55476.91</v>
      </c>
      <c r="I274" s="13">
        <v>24738.886999999999</v>
      </c>
      <c r="J274" s="13">
        <v>42994.161999999997</v>
      </c>
      <c r="K274" s="13">
        <v>209117.13200000001</v>
      </c>
      <c r="L274" s="13">
        <v>8740.6409999999996</v>
      </c>
      <c r="M274" s="13">
        <v>868.59299999999996</v>
      </c>
      <c r="N274" s="13">
        <v>843.298</v>
      </c>
      <c r="O274" s="13">
        <v>12873.341</v>
      </c>
      <c r="P274" s="13">
        <v>149.739</v>
      </c>
      <c r="X274" s="2"/>
    </row>
    <row r="275" spans="1:24" ht="14.25" customHeight="1" x14ac:dyDescent="0.25">
      <c r="A275" s="15">
        <v>44554</v>
      </c>
      <c r="B275" s="15">
        <v>44568</v>
      </c>
      <c r="C275" s="15">
        <v>44581</v>
      </c>
      <c r="D275" s="13">
        <f t="shared" si="7"/>
        <v>1906010.878</v>
      </c>
      <c r="E275" s="13">
        <v>430959.53</v>
      </c>
      <c r="F275" s="13">
        <v>350869.49800000002</v>
      </c>
      <c r="G275" s="13">
        <v>763609.08</v>
      </c>
      <c r="H275" s="13">
        <v>73540.455000000002</v>
      </c>
      <c r="I275" s="13">
        <v>22767.475999999999</v>
      </c>
      <c r="J275" s="13">
        <v>43045.125</v>
      </c>
      <c r="K275" s="13">
        <v>198091.565</v>
      </c>
      <c r="L275" s="13">
        <v>8458.6470000000008</v>
      </c>
      <c r="M275" s="13">
        <v>870.10299999999995</v>
      </c>
      <c r="N275" s="13">
        <v>773.298</v>
      </c>
      <c r="O275" s="13">
        <v>12873.111000000001</v>
      </c>
      <c r="P275" s="13">
        <v>152.99</v>
      </c>
      <c r="X275" s="2"/>
    </row>
    <row r="276" spans="1:24" ht="14.25" customHeight="1" x14ac:dyDescent="0.25">
      <c r="A276" s="15">
        <v>44568</v>
      </c>
      <c r="B276" s="15">
        <v>44582</v>
      </c>
      <c r="C276" s="15">
        <v>44595</v>
      </c>
      <c r="D276" s="13">
        <f t="shared" si="7"/>
        <v>1921498.2660000001</v>
      </c>
      <c r="E276" s="13">
        <v>412653.35399999999</v>
      </c>
      <c r="F276" s="13">
        <v>346642.69699999999</v>
      </c>
      <c r="G276" s="13">
        <v>786930.15599999996</v>
      </c>
      <c r="H276" s="13">
        <v>97401.706000000006</v>
      </c>
      <c r="I276" s="13">
        <v>23297.596000000001</v>
      </c>
      <c r="J276" s="13">
        <v>38106.110999999997</v>
      </c>
      <c r="K276" s="13">
        <v>192675.82800000001</v>
      </c>
      <c r="L276" s="13">
        <v>9167.4920000000002</v>
      </c>
      <c r="M276" s="13">
        <v>889.83699999999999</v>
      </c>
      <c r="N276" s="13">
        <v>771.85799999999995</v>
      </c>
      <c r="O276" s="13">
        <v>12872.906000000001</v>
      </c>
      <c r="P276" s="13">
        <v>88.724999999999994</v>
      </c>
      <c r="X276" s="2"/>
    </row>
    <row r="277" spans="1:24" ht="14.25" customHeight="1" x14ac:dyDescent="0.25">
      <c r="A277" s="15">
        <v>44582</v>
      </c>
      <c r="B277" s="15">
        <v>44596</v>
      </c>
      <c r="C277" s="15">
        <v>44609</v>
      </c>
      <c r="D277" s="13">
        <f t="shared" si="7"/>
        <v>1971854.4209999999</v>
      </c>
      <c r="E277" s="13">
        <v>420992.97499999998</v>
      </c>
      <c r="F277" s="13">
        <v>359217.53200000001</v>
      </c>
      <c r="G277" s="13">
        <v>800684.098</v>
      </c>
      <c r="H277" s="13">
        <v>114780.48699999999</v>
      </c>
      <c r="I277" s="13">
        <v>25061.751</v>
      </c>
      <c r="J277" s="13">
        <v>38454.334999999999</v>
      </c>
      <c r="K277" s="13">
        <v>190646.353</v>
      </c>
      <c r="L277" s="13">
        <v>8781.1290000000008</v>
      </c>
      <c r="M277" s="13">
        <v>989.08199999999999</v>
      </c>
      <c r="N277" s="13">
        <v>771.85799999999995</v>
      </c>
      <c r="O277" s="13">
        <v>11358.222</v>
      </c>
      <c r="P277" s="13">
        <v>116.599</v>
      </c>
      <c r="X277" s="2"/>
    </row>
    <row r="278" spans="1:24" ht="14.25" customHeight="1" x14ac:dyDescent="0.25">
      <c r="A278" s="15">
        <v>44596</v>
      </c>
      <c r="B278" s="15">
        <v>44610</v>
      </c>
      <c r="C278" s="15">
        <v>44623</v>
      </c>
      <c r="D278" s="13">
        <f t="shared" si="7"/>
        <v>1994208.7119999996</v>
      </c>
      <c r="E278" s="13">
        <v>427290.52399999998</v>
      </c>
      <c r="F278" s="13">
        <v>358044.386</v>
      </c>
      <c r="G278" s="13">
        <v>802862</v>
      </c>
      <c r="H278" s="13">
        <v>121626.08100000001</v>
      </c>
      <c r="I278" s="13">
        <v>28840.913</v>
      </c>
      <c r="J278" s="13">
        <v>39797.353999999999</v>
      </c>
      <c r="K278" s="13">
        <v>193493.37100000001</v>
      </c>
      <c r="L278" s="13">
        <v>8893.9570000000003</v>
      </c>
      <c r="M278" s="13">
        <v>990.83900000000006</v>
      </c>
      <c r="N278" s="13">
        <v>889.48400000000004</v>
      </c>
      <c r="O278" s="13">
        <v>11358.062</v>
      </c>
      <c r="P278" s="13">
        <v>121.741</v>
      </c>
      <c r="X278" s="2"/>
    </row>
    <row r="279" spans="1:24" ht="14.25" customHeight="1" x14ac:dyDescent="0.25">
      <c r="A279" s="15">
        <v>44610</v>
      </c>
      <c r="B279" s="15">
        <v>44624</v>
      </c>
      <c r="C279" s="15">
        <v>44637</v>
      </c>
      <c r="D279" s="13">
        <f t="shared" si="7"/>
        <v>2057715.9060000002</v>
      </c>
      <c r="E279" s="13">
        <v>449696.53499999997</v>
      </c>
      <c r="F279" s="13">
        <v>384417.19</v>
      </c>
      <c r="G279" s="13">
        <v>801664.73100000003</v>
      </c>
      <c r="H279" s="13">
        <v>131436.63200000001</v>
      </c>
      <c r="I279" s="13">
        <v>30288.548999999999</v>
      </c>
      <c r="J279" s="13">
        <v>41101.915999999997</v>
      </c>
      <c r="K279" s="13">
        <v>197584.18700000001</v>
      </c>
      <c r="L279" s="13">
        <v>8104.3130000000001</v>
      </c>
      <c r="M279" s="13">
        <v>990.48500000000001</v>
      </c>
      <c r="N279" s="13">
        <v>948.19600000000003</v>
      </c>
      <c r="O279" s="13">
        <v>11351.664000000001</v>
      </c>
      <c r="P279" s="13">
        <v>131.50800000000001</v>
      </c>
      <c r="X279" s="2"/>
    </row>
    <row r="280" spans="1:24" ht="14.25" customHeight="1" x14ac:dyDescent="0.25">
      <c r="A280" s="15">
        <v>44624</v>
      </c>
      <c r="B280" s="15">
        <v>44638</v>
      </c>
      <c r="C280" s="15">
        <v>44651</v>
      </c>
      <c r="D280" s="13">
        <f t="shared" si="7"/>
        <v>2016759.4769999997</v>
      </c>
      <c r="E280" s="13">
        <v>439748.87599999999</v>
      </c>
      <c r="F280" s="13">
        <v>354894.4</v>
      </c>
      <c r="G280" s="13">
        <v>786818.64800000004</v>
      </c>
      <c r="H280" s="13">
        <v>145876.71400000001</v>
      </c>
      <c r="I280" s="13">
        <v>29661.41</v>
      </c>
      <c r="J280" s="13">
        <v>40697.633000000002</v>
      </c>
      <c r="K280" s="13">
        <v>197830.005</v>
      </c>
      <c r="L280" s="13">
        <v>7607.0919999999996</v>
      </c>
      <c r="M280" s="13">
        <v>1183.941</v>
      </c>
      <c r="N280" s="13">
        <v>947.303</v>
      </c>
      <c r="O280" s="13">
        <v>11351.697</v>
      </c>
      <c r="P280" s="13">
        <v>141.75800000000001</v>
      </c>
      <c r="X280" s="2"/>
    </row>
    <row r="281" spans="1:24" ht="15" customHeight="1" x14ac:dyDescent="0.25">
      <c r="A281" s="15">
        <v>44638</v>
      </c>
      <c r="B281" s="15">
        <v>44652</v>
      </c>
      <c r="C281" s="15">
        <v>44665</v>
      </c>
      <c r="D281" s="13">
        <f t="shared" si="7"/>
        <v>2099585.3430000003</v>
      </c>
      <c r="E281" s="13">
        <v>478798.76500000001</v>
      </c>
      <c r="F281" s="13">
        <v>401703.78499999997</v>
      </c>
      <c r="G281" s="13">
        <v>770057.57700000005</v>
      </c>
      <c r="H281" s="13">
        <v>160595.573</v>
      </c>
      <c r="I281" s="13">
        <v>27631.637999999999</v>
      </c>
      <c r="J281" s="13">
        <v>40011.135000000002</v>
      </c>
      <c r="K281" s="13">
        <v>199366.356</v>
      </c>
      <c r="L281" s="13">
        <v>7782.9830000000002</v>
      </c>
      <c r="M281" s="13">
        <v>1187.27</v>
      </c>
      <c r="N281" s="13">
        <v>947.00699999999995</v>
      </c>
      <c r="O281" s="13">
        <v>11351.734</v>
      </c>
      <c r="P281" s="13">
        <v>151.52000000000001</v>
      </c>
      <c r="X281" s="2"/>
    </row>
    <row r="282" spans="1:24" ht="15" customHeight="1" x14ac:dyDescent="0.25">
      <c r="A282" s="15">
        <v>44652</v>
      </c>
      <c r="B282" s="15">
        <v>44666</v>
      </c>
      <c r="C282" s="15">
        <v>44679</v>
      </c>
      <c r="D282" s="13">
        <f t="shared" si="7"/>
        <v>2114230.0889999997</v>
      </c>
      <c r="E282" s="13">
        <v>483484.45199999999</v>
      </c>
      <c r="F282" s="13">
        <v>371304.01199999999</v>
      </c>
      <c r="G282" s="13">
        <v>781483.30200000003</v>
      </c>
      <c r="H282" s="13">
        <v>189872.443</v>
      </c>
      <c r="I282" s="13">
        <v>26530.355</v>
      </c>
      <c r="J282" s="13">
        <v>35928.15</v>
      </c>
      <c r="K282" s="13">
        <v>204695.084</v>
      </c>
      <c r="L282" s="13">
        <v>7318.3850000000002</v>
      </c>
      <c r="M282" s="13">
        <v>1150.058</v>
      </c>
      <c r="N282" s="13">
        <v>946.04200000000003</v>
      </c>
      <c r="O282" s="13">
        <v>11351.767</v>
      </c>
      <c r="P282" s="13">
        <v>166.03899999999999</v>
      </c>
      <c r="X282" s="2"/>
    </row>
    <row r="283" spans="1:24" ht="15" customHeight="1" x14ac:dyDescent="0.25">
      <c r="A283" s="17">
        <v>44666</v>
      </c>
      <c r="B283" s="17">
        <v>44680</v>
      </c>
      <c r="C283" s="17">
        <v>44693</v>
      </c>
      <c r="D283" s="18">
        <f t="shared" ref="D283" si="8">+SUM(E283:Q283)</f>
        <v>2190461.9049999998</v>
      </c>
      <c r="E283" s="18">
        <v>521380.65899999999</v>
      </c>
      <c r="F283" s="18">
        <v>383394.984</v>
      </c>
      <c r="G283" s="18">
        <v>774770.23100000003</v>
      </c>
      <c r="H283" s="18">
        <v>220042.37599999999</v>
      </c>
      <c r="I283" s="18">
        <v>26793.664000000001</v>
      </c>
      <c r="J283" s="18">
        <v>35390.139000000003</v>
      </c>
      <c r="K283" s="18">
        <v>207816.049</v>
      </c>
      <c r="L283" s="18">
        <v>7223.6270000000004</v>
      </c>
      <c r="M283" s="18">
        <v>1174.797</v>
      </c>
      <c r="N283" s="18">
        <v>945.86400000000003</v>
      </c>
      <c r="O283" s="18">
        <v>11351.802</v>
      </c>
      <c r="P283" s="18">
        <v>177.71299999999999</v>
      </c>
      <c r="X283" s="2"/>
    </row>
    <row r="284" spans="1:24" x14ac:dyDescent="0.25">
      <c r="B284" s="20"/>
      <c r="C284" s="20"/>
      <c r="D284" s="20"/>
      <c r="E284" s="20"/>
      <c r="F284" s="20"/>
      <c r="G284" s="20"/>
      <c r="H284" s="20"/>
      <c r="I284" s="20"/>
      <c r="J284" s="19"/>
      <c r="K284" s="19"/>
      <c r="L284" s="19"/>
      <c r="W284" s="2"/>
    </row>
    <row r="285" spans="1:24" ht="71.25" customHeight="1" x14ac:dyDescent="0.25">
      <c r="A285" s="34" t="s">
        <v>9</v>
      </c>
      <c r="B285" s="35" t="s">
        <v>40</v>
      </c>
      <c r="C285" s="35" t="s">
        <v>41</v>
      </c>
      <c r="D285" s="36" t="s">
        <v>6</v>
      </c>
      <c r="E285" s="36" t="s">
        <v>16</v>
      </c>
      <c r="F285" s="36" t="s">
        <v>2</v>
      </c>
      <c r="G285" s="36" t="s">
        <v>3</v>
      </c>
      <c r="H285" s="36" t="s">
        <v>4</v>
      </c>
      <c r="I285" s="36" t="s">
        <v>1</v>
      </c>
      <c r="J285" s="36" t="s">
        <v>5</v>
      </c>
      <c r="K285" s="36" t="s">
        <v>7</v>
      </c>
      <c r="L285" s="36" t="s">
        <v>28</v>
      </c>
      <c r="M285" s="36" t="s">
        <v>8</v>
      </c>
      <c r="N285" s="36" t="s">
        <v>11</v>
      </c>
      <c r="O285" s="36" t="s">
        <v>12</v>
      </c>
      <c r="P285" s="36" t="s">
        <v>43</v>
      </c>
      <c r="Q285" s="37" t="s">
        <v>45</v>
      </c>
      <c r="X285" s="2"/>
    </row>
    <row r="286" spans="1:24" ht="15" customHeight="1" x14ac:dyDescent="0.25">
      <c r="A286" s="15">
        <v>44680</v>
      </c>
      <c r="B286" s="15">
        <v>44694</v>
      </c>
      <c r="C286" s="15">
        <v>44707</v>
      </c>
      <c r="D286" s="13">
        <f t="shared" ref="D286:D312" si="9">+SUM(E286:Q286)</f>
        <v>2594161.7340000002</v>
      </c>
      <c r="E286" s="13">
        <v>567367.39899999998</v>
      </c>
      <c r="F286" s="13">
        <v>365926.348</v>
      </c>
      <c r="G286" s="13">
        <v>787014.91200000001</v>
      </c>
      <c r="H286" s="13">
        <v>235507.42600000001</v>
      </c>
      <c r="I286" s="13">
        <v>28714.66</v>
      </c>
      <c r="J286" s="13">
        <v>35300.252</v>
      </c>
      <c r="K286" s="13">
        <v>224604.739</v>
      </c>
      <c r="L286" s="13">
        <v>15807.748</v>
      </c>
      <c r="M286" s="13">
        <v>3381.9569999999999</v>
      </c>
      <c r="N286" s="13">
        <v>1524.9860000000001</v>
      </c>
      <c r="O286" s="13">
        <v>11344.199000000001</v>
      </c>
      <c r="P286" s="13">
        <v>161.334</v>
      </c>
      <c r="Q286" s="13">
        <v>317505.77399999998</v>
      </c>
      <c r="X286" s="2"/>
    </row>
    <row r="287" spans="1:24" ht="15" customHeight="1" x14ac:dyDescent="0.25">
      <c r="A287" s="15">
        <v>44694</v>
      </c>
      <c r="B287" s="15">
        <v>44708</v>
      </c>
      <c r="C287" s="15">
        <v>44721</v>
      </c>
      <c r="D287" s="13">
        <f t="shared" si="9"/>
        <v>2582019.2580000004</v>
      </c>
      <c r="E287" s="13">
        <v>525667.42700000003</v>
      </c>
      <c r="F287" s="13">
        <v>392482.31099999999</v>
      </c>
      <c r="G287" s="13">
        <v>779858.18500000006</v>
      </c>
      <c r="H287" s="13">
        <v>246740.85699999999</v>
      </c>
      <c r="I287" s="13">
        <v>29117.691999999999</v>
      </c>
      <c r="J287" s="13">
        <v>34270.029000000002</v>
      </c>
      <c r="K287" s="13">
        <v>224055.883</v>
      </c>
      <c r="L287" s="13">
        <v>15380.028</v>
      </c>
      <c r="M287" s="13">
        <v>3584.5520000000001</v>
      </c>
      <c r="N287" s="13">
        <v>1848.7909999999999</v>
      </c>
      <c r="O287" s="13">
        <v>11344.234</v>
      </c>
      <c r="P287" s="13">
        <v>163.495</v>
      </c>
      <c r="Q287" s="13">
        <v>317505.77399999998</v>
      </c>
      <c r="X287" s="2"/>
    </row>
    <row r="288" spans="1:24" ht="15" customHeight="1" x14ac:dyDescent="0.25">
      <c r="A288" s="15">
        <v>44708</v>
      </c>
      <c r="B288" s="15">
        <v>44722</v>
      </c>
      <c r="C288" s="15">
        <v>44735</v>
      </c>
      <c r="D288" s="13">
        <f t="shared" si="9"/>
        <v>2546347.7260000003</v>
      </c>
      <c r="E288" s="13">
        <v>550802.89899999998</v>
      </c>
      <c r="F288" s="13">
        <v>395346.00199999998</v>
      </c>
      <c r="G288" s="13">
        <v>767456.92</v>
      </c>
      <c r="H288" s="13">
        <v>265329.46899999998</v>
      </c>
      <c r="I288" s="13">
        <v>30029.726999999999</v>
      </c>
      <c r="J288" s="13">
        <v>34380.900999999998</v>
      </c>
      <c r="K288" s="13">
        <v>217675.03099999999</v>
      </c>
      <c r="L288" s="13">
        <v>8916.4689999999991</v>
      </c>
      <c r="M288" s="13">
        <v>1415.691</v>
      </c>
      <c r="N288" s="13">
        <v>1469.501</v>
      </c>
      <c r="O288" s="13">
        <v>11344.269</v>
      </c>
      <c r="P288" s="13">
        <v>225.65100000000001</v>
      </c>
      <c r="Q288" s="13">
        <v>261955.196</v>
      </c>
      <c r="X288" s="2"/>
    </row>
    <row r="289" spans="1:24" ht="15" customHeight="1" x14ac:dyDescent="0.25">
      <c r="A289" s="15">
        <v>44722</v>
      </c>
      <c r="B289" s="15">
        <v>44736</v>
      </c>
      <c r="C289" s="15">
        <v>44749</v>
      </c>
      <c r="D289" s="13">
        <f t="shared" si="9"/>
        <v>2614629.7299999995</v>
      </c>
      <c r="E289" s="13">
        <v>571433.30799999996</v>
      </c>
      <c r="F289" s="13">
        <v>415821.57299999997</v>
      </c>
      <c r="G289" s="13">
        <v>766074.16099999996</v>
      </c>
      <c r="H289" s="13">
        <v>285097.87599999999</v>
      </c>
      <c r="I289" s="13">
        <v>30529.511999999999</v>
      </c>
      <c r="J289" s="13">
        <v>32902.535000000003</v>
      </c>
      <c r="K289" s="13">
        <v>227002.34899999999</v>
      </c>
      <c r="L289" s="13">
        <v>9370.4549999999999</v>
      </c>
      <c r="M289" s="13">
        <v>1476.6189999999999</v>
      </c>
      <c r="N289" s="13">
        <v>1467.65</v>
      </c>
      <c r="O289" s="13">
        <v>11344.303</v>
      </c>
      <c r="P289" s="13">
        <v>154.19300000000001</v>
      </c>
      <c r="Q289" s="13">
        <v>261955.196</v>
      </c>
      <c r="X289" s="2"/>
    </row>
    <row r="290" spans="1:24" ht="15" customHeight="1" x14ac:dyDescent="0.25">
      <c r="A290" s="15">
        <v>44736</v>
      </c>
      <c r="B290" s="15">
        <v>44750</v>
      </c>
      <c r="C290" s="15">
        <v>44763</v>
      </c>
      <c r="D290" s="13">
        <f t="shared" si="9"/>
        <v>2649917.4130000006</v>
      </c>
      <c r="E290" s="13">
        <v>590095.799</v>
      </c>
      <c r="F290" s="13">
        <v>425156.70799999998</v>
      </c>
      <c r="G290" s="13">
        <v>782472.77800000005</v>
      </c>
      <c r="H290" s="13">
        <v>300105.55900000001</v>
      </c>
      <c r="I290" s="13">
        <v>30185.197</v>
      </c>
      <c r="J290" s="13">
        <v>32618.861000000001</v>
      </c>
      <c r="K290" s="13">
        <v>231947.95800000001</v>
      </c>
      <c r="L290" s="13">
        <v>9684.9359999999997</v>
      </c>
      <c r="M290" s="13">
        <v>1475.7239999999999</v>
      </c>
      <c r="N290" s="13">
        <v>1467.463</v>
      </c>
      <c r="O290" s="13">
        <v>11344.338</v>
      </c>
      <c r="P290" s="13">
        <v>141.02799999999999</v>
      </c>
      <c r="Q290" s="13">
        <v>233221.06400000001</v>
      </c>
      <c r="X290" s="2"/>
    </row>
    <row r="291" spans="1:24" ht="15" customHeight="1" x14ac:dyDescent="0.25">
      <c r="A291" s="15">
        <v>44750</v>
      </c>
      <c r="B291" s="15">
        <v>44764</v>
      </c>
      <c r="C291" s="15">
        <v>44777</v>
      </c>
      <c r="D291" s="13">
        <f t="shared" si="9"/>
        <v>2725817.949</v>
      </c>
      <c r="E291" s="13">
        <v>630286.36100000003</v>
      </c>
      <c r="F291" s="13">
        <v>401933.63299999997</v>
      </c>
      <c r="G291" s="13">
        <v>811436.14399999997</v>
      </c>
      <c r="H291" s="13">
        <v>320062.38699999999</v>
      </c>
      <c r="I291" s="13">
        <v>29511.685000000001</v>
      </c>
      <c r="J291" s="13">
        <v>31643.321</v>
      </c>
      <c r="K291" s="13">
        <v>243152.476</v>
      </c>
      <c r="L291" s="13">
        <v>10543.572</v>
      </c>
      <c r="M291" s="13">
        <v>1503.5440000000001</v>
      </c>
      <c r="N291" s="13">
        <v>1477.3869999999999</v>
      </c>
      <c r="O291" s="13">
        <v>10815.673000000001</v>
      </c>
      <c r="P291" s="13">
        <v>230.702</v>
      </c>
      <c r="Q291" s="13">
        <v>233221.06400000001</v>
      </c>
      <c r="X291" s="2"/>
    </row>
    <row r="292" spans="1:24" ht="15" customHeight="1" x14ac:dyDescent="0.25">
      <c r="A292" s="15">
        <v>44764</v>
      </c>
      <c r="B292" s="15">
        <v>44778</v>
      </c>
      <c r="C292" s="15">
        <v>44791</v>
      </c>
      <c r="D292" s="13">
        <f t="shared" si="9"/>
        <v>2714953.1919999998</v>
      </c>
      <c r="E292" s="13">
        <v>596994.28899999999</v>
      </c>
      <c r="F292" s="13">
        <v>424587.53100000002</v>
      </c>
      <c r="G292" s="13">
        <v>840961.65500000003</v>
      </c>
      <c r="H292" s="13">
        <v>325856.04200000002</v>
      </c>
      <c r="I292" s="13">
        <v>29562.868999999999</v>
      </c>
      <c r="J292" s="13">
        <v>31840.120999999999</v>
      </c>
      <c r="K292" s="13">
        <v>238049.122</v>
      </c>
      <c r="L292" s="13">
        <v>10703.412</v>
      </c>
      <c r="M292" s="13">
        <v>1505.7719999999999</v>
      </c>
      <c r="N292" s="13">
        <v>1477.3869999999999</v>
      </c>
      <c r="O292" s="13">
        <v>10815.71</v>
      </c>
      <c r="P292" s="13">
        <v>138.41999999999999</v>
      </c>
      <c r="Q292" s="13">
        <v>202460.86199999999</v>
      </c>
      <c r="X292" s="2"/>
    </row>
    <row r="293" spans="1:24" ht="15" customHeight="1" x14ac:dyDescent="0.25">
      <c r="A293" s="15">
        <v>44778</v>
      </c>
      <c r="B293" s="15">
        <v>44792</v>
      </c>
      <c r="C293" s="15">
        <v>44805</v>
      </c>
      <c r="D293" s="13">
        <f t="shared" si="9"/>
        <v>2810025.4909999999</v>
      </c>
      <c r="E293" s="13">
        <v>630855.99100000004</v>
      </c>
      <c r="F293" s="13">
        <v>425145.79499999998</v>
      </c>
      <c r="G293" s="13">
        <v>873011.40500000003</v>
      </c>
      <c r="H293" s="13">
        <v>343526.99300000002</v>
      </c>
      <c r="I293" s="13">
        <v>30936.782999999999</v>
      </c>
      <c r="J293" s="13">
        <v>31535.684000000001</v>
      </c>
      <c r="K293" s="13">
        <v>247297.74299999999</v>
      </c>
      <c r="L293" s="13">
        <v>10934.628000000001</v>
      </c>
      <c r="M293" s="13">
        <v>1625.633</v>
      </c>
      <c r="N293" s="13">
        <v>1490.69</v>
      </c>
      <c r="O293" s="13">
        <v>11035.743</v>
      </c>
      <c r="P293" s="13">
        <v>167.541</v>
      </c>
      <c r="Q293" s="13">
        <v>202460.86199999999</v>
      </c>
      <c r="X293" s="2"/>
    </row>
    <row r="294" spans="1:24" ht="15" customHeight="1" x14ac:dyDescent="0.25">
      <c r="A294" s="15">
        <v>44792</v>
      </c>
      <c r="B294" s="15">
        <v>44806</v>
      </c>
      <c r="C294" s="15">
        <v>44819</v>
      </c>
      <c r="D294" s="13">
        <f t="shared" si="9"/>
        <v>2980931.5279999999</v>
      </c>
      <c r="E294" s="13">
        <v>657585.48499999999</v>
      </c>
      <c r="F294" s="13">
        <v>457221.408</v>
      </c>
      <c r="G294" s="13">
        <v>916414.10900000005</v>
      </c>
      <c r="H294" s="13">
        <v>354970.25900000002</v>
      </c>
      <c r="I294" s="13">
        <v>35191.648000000001</v>
      </c>
      <c r="J294" s="13">
        <v>32018.683000000001</v>
      </c>
      <c r="K294" s="13">
        <v>253579.049</v>
      </c>
      <c r="L294" s="13">
        <v>11595.197</v>
      </c>
      <c r="M294" s="13">
        <v>1645.6410000000001</v>
      </c>
      <c r="N294" s="13">
        <v>1489.886</v>
      </c>
      <c r="O294" s="13">
        <v>10722.777</v>
      </c>
      <c r="P294" s="13">
        <v>237.30699999999999</v>
      </c>
      <c r="Q294" s="13">
        <v>248260.079</v>
      </c>
      <c r="X294" s="2"/>
    </row>
    <row r="295" spans="1:24" ht="15" customHeight="1" x14ac:dyDescent="0.25">
      <c r="A295" s="15">
        <v>44806</v>
      </c>
      <c r="B295" s="15">
        <v>44820</v>
      </c>
      <c r="C295" s="15">
        <v>44833</v>
      </c>
      <c r="D295" s="13">
        <f t="shared" si="9"/>
        <v>2999791.9840000002</v>
      </c>
      <c r="E295" s="13">
        <v>655452.38300000003</v>
      </c>
      <c r="F295" s="13">
        <v>449923.76</v>
      </c>
      <c r="G295" s="13">
        <v>925099.99899999995</v>
      </c>
      <c r="H295" s="13">
        <v>359693.54200000002</v>
      </c>
      <c r="I295" s="13">
        <v>37847.773000000001</v>
      </c>
      <c r="J295" s="13">
        <v>33904.671999999999</v>
      </c>
      <c r="K295" s="13">
        <v>263720.435</v>
      </c>
      <c r="L295" s="13">
        <v>11911.322</v>
      </c>
      <c r="M295" s="13">
        <v>1667.1289999999999</v>
      </c>
      <c r="N295" s="13">
        <v>1386.9860000000001</v>
      </c>
      <c r="O295" s="13">
        <v>10722.812</v>
      </c>
      <c r="P295" s="13">
        <v>201.09200000000001</v>
      </c>
      <c r="Q295" s="13">
        <v>248260.079</v>
      </c>
      <c r="X295" s="2"/>
    </row>
    <row r="296" spans="1:24" ht="15" customHeight="1" x14ac:dyDescent="0.25">
      <c r="A296" s="15">
        <v>44820</v>
      </c>
      <c r="B296" s="15">
        <v>44834</v>
      </c>
      <c r="C296" s="15">
        <v>44847</v>
      </c>
      <c r="D296" s="13">
        <f t="shared" si="9"/>
        <v>2950706.44</v>
      </c>
      <c r="E296" s="13">
        <v>692373.76500000001</v>
      </c>
      <c r="F296" s="13">
        <v>459218.30800000002</v>
      </c>
      <c r="G296" s="13">
        <v>956067.64099999995</v>
      </c>
      <c r="H296" s="13">
        <v>360043.9</v>
      </c>
      <c r="I296" s="13">
        <v>38800.847000000002</v>
      </c>
      <c r="J296" s="13">
        <v>34543.707999999999</v>
      </c>
      <c r="K296" s="13">
        <v>264268.45899999997</v>
      </c>
      <c r="L296" s="13">
        <v>13354.715</v>
      </c>
      <c r="M296" s="13">
        <v>1569.268</v>
      </c>
      <c r="N296" s="13">
        <v>1386.9860000000001</v>
      </c>
      <c r="O296" s="13">
        <v>10722.846</v>
      </c>
      <c r="P296" s="13">
        <v>119.3</v>
      </c>
      <c r="Q296" s="13">
        <v>118236.697</v>
      </c>
      <c r="X296" s="2"/>
    </row>
    <row r="297" spans="1:24" ht="15" customHeight="1" x14ac:dyDescent="0.25">
      <c r="A297" s="15">
        <v>44834</v>
      </c>
      <c r="B297" s="15">
        <v>44848</v>
      </c>
      <c r="C297" s="15">
        <v>44861</v>
      </c>
      <c r="D297" s="13">
        <f t="shared" si="9"/>
        <v>2950205.006000001</v>
      </c>
      <c r="E297" s="13">
        <v>685069.93900000001</v>
      </c>
      <c r="F297" s="13">
        <v>440223.68800000002</v>
      </c>
      <c r="G297" s="13">
        <v>994556.15</v>
      </c>
      <c r="H297" s="13">
        <v>348529.12699999998</v>
      </c>
      <c r="I297" s="13">
        <v>39646.735999999997</v>
      </c>
      <c r="J297" s="13">
        <v>34348.120000000003</v>
      </c>
      <c r="K297" s="13">
        <v>261411.88500000001</v>
      </c>
      <c r="L297" s="13">
        <v>14347.182000000001</v>
      </c>
      <c r="M297" s="13">
        <v>1542.5239999999999</v>
      </c>
      <c r="N297" s="13">
        <v>1385.5129999999999</v>
      </c>
      <c r="O297" s="13">
        <v>10722.882</v>
      </c>
      <c r="P297" s="13">
        <v>184.56299999999999</v>
      </c>
      <c r="Q297" s="13">
        <v>118236.697</v>
      </c>
      <c r="X297" s="2"/>
    </row>
    <row r="298" spans="1:24" ht="15" customHeight="1" x14ac:dyDescent="0.25">
      <c r="A298" s="15">
        <v>44848</v>
      </c>
      <c r="B298" s="15">
        <v>44862</v>
      </c>
      <c r="C298" s="15">
        <v>44875</v>
      </c>
      <c r="D298" s="13">
        <f t="shared" si="9"/>
        <v>3069380.7209999999</v>
      </c>
      <c r="E298" s="13">
        <v>708454.98199999996</v>
      </c>
      <c r="F298" s="13">
        <v>497937.95799999998</v>
      </c>
      <c r="G298" s="13">
        <v>1022618.586</v>
      </c>
      <c r="H298" s="13">
        <v>353787.26899999997</v>
      </c>
      <c r="I298" s="13">
        <v>40684.351999999999</v>
      </c>
      <c r="J298" s="13">
        <v>33961.997000000003</v>
      </c>
      <c r="K298" s="13">
        <v>266280.68900000001</v>
      </c>
      <c r="L298" s="13">
        <v>15059.272999999999</v>
      </c>
      <c r="M298" s="13">
        <v>1527.0450000000001</v>
      </c>
      <c r="N298" s="13">
        <v>1391.23</v>
      </c>
      <c r="O298" s="13">
        <v>8861.1650000000009</v>
      </c>
      <c r="P298" s="13">
        <v>167.87899999999999</v>
      </c>
      <c r="Q298" s="13">
        <v>118648.296</v>
      </c>
      <c r="X298" s="2"/>
    </row>
    <row r="299" spans="1:24" ht="15" customHeight="1" x14ac:dyDescent="0.25">
      <c r="A299" s="15">
        <v>44862</v>
      </c>
      <c r="B299" s="15">
        <v>44876</v>
      </c>
      <c r="C299" s="15">
        <v>44889</v>
      </c>
      <c r="D299" s="13">
        <f t="shared" si="9"/>
        <v>3166265.1150000002</v>
      </c>
      <c r="E299" s="13">
        <v>767883.58299999998</v>
      </c>
      <c r="F299" s="13">
        <v>507931.82299999997</v>
      </c>
      <c r="G299" s="13">
        <v>1054832.1059999999</v>
      </c>
      <c r="H299" s="13">
        <v>348164.39399999997</v>
      </c>
      <c r="I299" s="13">
        <v>40376.463000000003</v>
      </c>
      <c r="J299" s="13">
        <v>34414.773999999998</v>
      </c>
      <c r="K299" s="13">
        <v>265816.80200000003</v>
      </c>
      <c r="L299" s="13">
        <v>16023.495000000001</v>
      </c>
      <c r="M299" s="13">
        <v>1665.491</v>
      </c>
      <c r="N299" s="13">
        <v>1390.377</v>
      </c>
      <c r="O299" s="13">
        <v>8861.1990000000005</v>
      </c>
      <c r="P299" s="13">
        <v>256.31200000000001</v>
      </c>
      <c r="Q299" s="13">
        <v>118648.296</v>
      </c>
      <c r="X299" s="2"/>
    </row>
    <row r="300" spans="1:24" ht="15" customHeight="1" x14ac:dyDescent="0.25">
      <c r="A300" s="15">
        <v>44876</v>
      </c>
      <c r="B300" s="15">
        <v>44890</v>
      </c>
      <c r="C300" s="15">
        <v>44903</v>
      </c>
      <c r="D300" s="13">
        <f t="shared" si="9"/>
        <v>3141414.8499999996</v>
      </c>
      <c r="E300" s="13">
        <v>769635.94499999995</v>
      </c>
      <c r="F300" s="13">
        <v>544078.23499999999</v>
      </c>
      <c r="G300" s="13">
        <v>1121253.7009999999</v>
      </c>
      <c r="H300" s="13">
        <v>335195.76</v>
      </c>
      <c r="I300" s="13">
        <v>39215.372000000003</v>
      </c>
      <c r="J300" s="13">
        <v>34161.983</v>
      </c>
      <c r="K300" s="13">
        <v>268864.28999999998</v>
      </c>
      <c r="L300" s="13">
        <v>15928.181</v>
      </c>
      <c r="M300" s="13">
        <v>1688.604</v>
      </c>
      <c r="N300" s="13">
        <v>1389.7360000000001</v>
      </c>
      <c r="O300" s="13">
        <v>8861.2340000000004</v>
      </c>
      <c r="P300" s="13">
        <v>171.47499999999999</v>
      </c>
      <c r="Q300" s="13">
        <v>970.33399999999995</v>
      </c>
      <c r="X300" s="2"/>
    </row>
    <row r="301" spans="1:24" ht="15" customHeight="1" x14ac:dyDescent="0.25">
      <c r="A301" s="15">
        <v>44890</v>
      </c>
      <c r="B301" s="15">
        <v>44904</v>
      </c>
      <c r="C301" s="15">
        <v>44917</v>
      </c>
      <c r="D301" s="13">
        <f t="shared" si="9"/>
        <v>3239573.7209999999</v>
      </c>
      <c r="E301" s="13">
        <v>797755.67599999998</v>
      </c>
      <c r="F301" s="13">
        <v>562521.23600000003</v>
      </c>
      <c r="G301" s="13">
        <v>1181894.1359999999</v>
      </c>
      <c r="H301" s="13">
        <v>318125.05200000003</v>
      </c>
      <c r="I301" s="13">
        <v>37231.998</v>
      </c>
      <c r="J301" s="13">
        <v>34661.430999999997</v>
      </c>
      <c r="K301" s="13">
        <v>277110.57199999999</v>
      </c>
      <c r="L301" s="13">
        <v>17166.695</v>
      </c>
      <c r="M301" s="13">
        <v>1675.2449999999999</v>
      </c>
      <c r="N301" s="13">
        <v>1388.933</v>
      </c>
      <c r="O301" s="13">
        <v>8861.2659999999996</v>
      </c>
      <c r="P301" s="13">
        <v>211.14699999999999</v>
      </c>
      <c r="Q301" s="13">
        <v>970.33399999999995</v>
      </c>
      <c r="X301" s="2"/>
    </row>
    <row r="302" spans="1:24" ht="15" customHeight="1" x14ac:dyDescent="0.25">
      <c r="A302" s="15">
        <v>44904</v>
      </c>
      <c r="B302" s="15">
        <v>44918</v>
      </c>
      <c r="C302" s="15">
        <v>44931</v>
      </c>
      <c r="D302" s="13">
        <f t="shared" si="9"/>
        <v>3336364.003</v>
      </c>
      <c r="E302" s="13">
        <v>814346.70299999998</v>
      </c>
      <c r="F302" s="13">
        <v>598701.28200000001</v>
      </c>
      <c r="G302" s="13">
        <v>1235875.294</v>
      </c>
      <c r="H302" s="13">
        <v>300866.12900000002</v>
      </c>
      <c r="I302" s="13">
        <v>37710.953999999998</v>
      </c>
      <c r="J302" s="13">
        <v>35490.347999999998</v>
      </c>
      <c r="K302" s="13">
        <v>283226.27899999998</v>
      </c>
      <c r="L302" s="13">
        <v>16943.34</v>
      </c>
      <c r="M302" s="13">
        <v>1730.336</v>
      </c>
      <c r="N302" s="13">
        <v>1404.566</v>
      </c>
      <c r="O302" s="13">
        <v>8683.8799999999992</v>
      </c>
      <c r="P302" s="13">
        <v>239.886</v>
      </c>
      <c r="Q302" s="13">
        <v>1145.0060000000001</v>
      </c>
      <c r="X302" s="2"/>
    </row>
    <row r="303" spans="1:24" ht="15" customHeight="1" x14ac:dyDescent="0.25">
      <c r="A303" s="15">
        <v>44918</v>
      </c>
      <c r="B303" s="15">
        <v>44932</v>
      </c>
      <c r="C303" s="15">
        <v>44945</v>
      </c>
      <c r="D303" s="13">
        <f t="shared" si="9"/>
        <v>3561523.0490000001</v>
      </c>
      <c r="E303" s="13">
        <v>883915.57299999997</v>
      </c>
      <c r="F303" s="13">
        <v>676004.50300000003</v>
      </c>
      <c r="G303" s="13">
        <v>1320530.7209999999</v>
      </c>
      <c r="H303" s="13">
        <v>288346.592</v>
      </c>
      <c r="I303" s="13">
        <v>39030.805999999997</v>
      </c>
      <c r="J303" s="13">
        <v>36933.724999999999</v>
      </c>
      <c r="K303" s="13">
        <v>285021.06099999999</v>
      </c>
      <c r="L303" s="13">
        <v>19137.240000000002</v>
      </c>
      <c r="M303" s="13">
        <v>2216.875</v>
      </c>
      <c r="N303" s="13">
        <v>1429.566</v>
      </c>
      <c r="O303" s="13">
        <v>7515.915</v>
      </c>
      <c r="P303" s="13">
        <v>295.46600000000001</v>
      </c>
      <c r="Q303" s="13">
        <v>1145.0060000000001</v>
      </c>
      <c r="X303" s="2"/>
    </row>
    <row r="304" spans="1:24" ht="15" customHeight="1" x14ac:dyDescent="0.25">
      <c r="A304" s="15">
        <v>44932</v>
      </c>
      <c r="B304" s="15">
        <v>44946</v>
      </c>
      <c r="C304" s="15">
        <v>44959</v>
      </c>
      <c r="D304" s="13">
        <f t="shared" si="9"/>
        <v>3604380.3380000005</v>
      </c>
      <c r="E304" s="13">
        <v>849410.78</v>
      </c>
      <c r="F304" s="13">
        <v>650594.40599999996</v>
      </c>
      <c r="G304" s="13">
        <v>1450826.277</v>
      </c>
      <c r="H304" s="13">
        <v>245739.614</v>
      </c>
      <c r="I304" s="13">
        <v>41710.832999999999</v>
      </c>
      <c r="J304" s="13">
        <v>37123.243999999999</v>
      </c>
      <c r="K304" s="13">
        <v>295101.538</v>
      </c>
      <c r="L304" s="13">
        <v>19873.839</v>
      </c>
      <c r="M304" s="13">
        <v>2383.402</v>
      </c>
      <c r="N304" s="13">
        <v>1427.393</v>
      </c>
      <c r="O304" s="13">
        <v>7515.9489999999996</v>
      </c>
      <c r="P304" s="13">
        <v>227.76400000000001</v>
      </c>
      <c r="Q304" s="13">
        <v>2445.299</v>
      </c>
      <c r="X304" s="2"/>
    </row>
    <row r="305" spans="1:24" ht="15" customHeight="1" x14ac:dyDescent="0.25">
      <c r="A305" s="15">
        <v>44946</v>
      </c>
      <c r="B305" s="15">
        <v>44960</v>
      </c>
      <c r="C305" s="15">
        <v>44973</v>
      </c>
      <c r="D305" s="13">
        <f t="shared" si="9"/>
        <v>3668227.8689999999</v>
      </c>
      <c r="E305" s="13">
        <v>871775.25800000003</v>
      </c>
      <c r="F305" s="13">
        <v>636701.58299999998</v>
      </c>
      <c r="G305" s="13">
        <v>1526322.3189999999</v>
      </c>
      <c r="H305" s="13">
        <v>219246.29500000001</v>
      </c>
      <c r="I305" s="13">
        <v>42394.451000000001</v>
      </c>
      <c r="J305" s="13">
        <v>37730.430999999997</v>
      </c>
      <c r="K305" s="13">
        <v>297849.93099999998</v>
      </c>
      <c r="L305" s="13">
        <v>22484.716</v>
      </c>
      <c r="M305" s="13">
        <v>2048.25</v>
      </c>
      <c r="N305" s="13">
        <v>1427.393</v>
      </c>
      <c r="O305" s="13">
        <v>7515.9849999999997</v>
      </c>
      <c r="P305" s="13">
        <v>285.95800000000003</v>
      </c>
      <c r="Q305" s="13">
        <v>2445.299</v>
      </c>
      <c r="X305" s="2"/>
    </row>
    <row r="306" spans="1:24" ht="15" customHeight="1" x14ac:dyDescent="0.25">
      <c r="A306" s="15">
        <v>44960</v>
      </c>
      <c r="B306" s="15">
        <v>44974</v>
      </c>
      <c r="C306" s="15">
        <v>44987</v>
      </c>
      <c r="D306" s="13">
        <f t="shared" si="9"/>
        <v>3696884.872</v>
      </c>
      <c r="E306" s="13">
        <v>886318.57799999998</v>
      </c>
      <c r="F306" s="13">
        <v>620415.31099999999</v>
      </c>
      <c r="G306" s="13">
        <v>1544713.2220000001</v>
      </c>
      <c r="H306" s="13">
        <v>227774.13099999999</v>
      </c>
      <c r="I306" s="13">
        <v>42601.468999999997</v>
      </c>
      <c r="J306" s="13">
        <v>39277.548999999999</v>
      </c>
      <c r="K306" s="13">
        <v>299611.88199999998</v>
      </c>
      <c r="L306" s="13">
        <v>23728.281999999999</v>
      </c>
      <c r="M306" s="13">
        <v>2046.8150000000001</v>
      </c>
      <c r="N306" s="13">
        <v>1426.1089999999999</v>
      </c>
      <c r="O306" s="13">
        <v>7516.0190000000002</v>
      </c>
      <c r="P306" s="13">
        <v>227.184</v>
      </c>
      <c r="Q306" s="13">
        <v>1228.3209999999999</v>
      </c>
      <c r="X306" s="2"/>
    </row>
    <row r="307" spans="1:24" ht="15" customHeight="1" x14ac:dyDescent="0.25">
      <c r="A307" s="15">
        <v>44974</v>
      </c>
      <c r="B307" s="15">
        <v>44988</v>
      </c>
      <c r="C307" s="15">
        <v>45001</v>
      </c>
      <c r="D307" s="13">
        <f t="shared" si="9"/>
        <v>3847057.1</v>
      </c>
      <c r="E307" s="13">
        <v>966045.81599999999</v>
      </c>
      <c r="F307" s="13">
        <v>662209.36</v>
      </c>
      <c r="G307" s="13">
        <v>1546673.034</v>
      </c>
      <c r="H307" s="13">
        <v>252046.628</v>
      </c>
      <c r="I307" s="13">
        <v>45453.972000000002</v>
      </c>
      <c r="J307" s="13">
        <v>40768.93</v>
      </c>
      <c r="K307" s="13">
        <v>296443.73200000002</v>
      </c>
      <c r="L307" s="13">
        <v>25035.050999999999</v>
      </c>
      <c r="M307" s="13">
        <v>2002.1849999999999</v>
      </c>
      <c r="N307" s="13">
        <v>1425.7750000000001</v>
      </c>
      <c r="O307" s="13">
        <v>7513.9139999999998</v>
      </c>
      <c r="P307" s="13">
        <v>210.38200000000001</v>
      </c>
      <c r="Q307" s="13">
        <v>1228.3209999999999</v>
      </c>
      <c r="X307" s="2"/>
    </row>
    <row r="308" spans="1:24" ht="15" customHeight="1" x14ac:dyDescent="0.25">
      <c r="A308" s="15">
        <v>44988</v>
      </c>
      <c r="B308" s="15">
        <v>45002</v>
      </c>
      <c r="C308" s="15">
        <v>45015</v>
      </c>
      <c r="D308" s="13">
        <f t="shared" si="9"/>
        <v>3930701.6190000004</v>
      </c>
      <c r="E308" s="13">
        <v>969524.28799999994</v>
      </c>
      <c r="F308" s="13">
        <v>671071.41500000004</v>
      </c>
      <c r="G308" s="13">
        <v>1576280.4339999999</v>
      </c>
      <c r="H308" s="13">
        <v>283058.58199999999</v>
      </c>
      <c r="I308" s="13">
        <v>49124.663</v>
      </c>
      <c r="J308" s="13">
        <v>41726.781000000003</v>
      </c>
      <c r="K308" s="13">
        <v>301924.62300000002</v>
      </c>
      <c r="L308" s="13">
        <v>25474.102999999999</v>
      </c>
      <c r="M308" s="13">
        <v>2372.1819999999998</v>
      </c>
      <c r="N308" s="13">
        <v>1422.912</v>
      </c>
      <c r="O308" s="13">
        <v>7257.0959999999995</v>
      </c>
      <c r="P308" s="13">
        <v>250.471</v>
      </c>
      <c r="Q308" s="13">
        <v>1214.069</v>
      </c>
      <c r="X308" s="2"/>
    </row>
    <row r="309" spans="1:24" ht="15" customHeight="1" x14ac:dyDescent="0.25">
      <c r="A309" s="15">
        <v>45002</v>
      </c>
      <c r="B309" s="15">
        <v>45016</v>
      </c>
      <c r="C309" s="15">
        <v>45029</v>
      </c>
      <c r="D309" s="13">
        <f t="shared" si="9"/>
        <v>4073913.2480000001</v>
      </c>
      <c r="E309" s="13">
        <v>1025137.339</v>
      </c>
      <c r="F309" s="13">
        <v>701657.98300000001</v>
      </c>
      <c r="G309" s="13">
        <v>1597958.5249999999</v>
      </c>
      <c r="H309" s="13">
        <v>306058.80499999999</v>
      </c>
      <c r="I309" s="13">
        <v>51329.701999999997</v>
      </c>
      <c r="J309" s="13">
        <v>43275.714999999997</v>
      </c>
      <c r="K309" s="13">
        <v>309514.59000000003</v>
      </c>
      <c r="L309" s="13">
        <v>25987.742999999999</v>
      </c>
      <c r="M309" s="13">
        <v>2513.723</v>
      </c>
      <c r="N309" s="13">
        <v>1815.5940000000001</v>
      </c>
      <c r="O309" s="13">
        <v>7232.9260000000004</v>
      </c>
      <c r="P309" s="13">
        <v>216.53399999999999</v>
      </c>
      <c r="Q309" s="13">
        <v>1214.069</v>
      </c>
      <c r="X309" s="2"/>
    </row>
    <row r="310" spans="1:24" ht="15" customHeight="1" x14ac:dyDescent="0.25">
      <c r="A310" s="15">
        <v>45016</v>
      </c>
      <c r="B310" s="15">
        <v>45030</v>
      </c>
      <c r="C310" s="15">
        <v>45043</v>
      </c>
      <c r="D310" s="13">
        <f t="shared" si="9"/>
        <v>4129946.8809999996</v>
      </c>
      <c r="E310" s="13">
        <v>1052401.8629999999</v>
      </c>
      <c r="F310" s="13">
        <v>692333.63899999997</v>
      </c>
      <c r="G310" s="13">
        <v>1591301.2220000001</v>
      </c>
      <c r="H310" s="13">
        <v>340229.94799999997</v>
      </c>
      <c r="I310" s="13">
        <v>53727.218999999997</v>
      </c>
      <c r="J310" s="13">
        <v>46650.743000000002</v>
      </c>
      <c r="K310" s="13">
        <v>312469.34100000001</v>
      </c>
      <c r="L310" s="13">
        <v>27472.277999999998</v>
      </c>
      <c r="M310" s="13">
        <v>2610.8820000000001</v>
      </c>
      <c r="N310" s="13">
        <v>1864.0650000000001</v>
      </c>
      <c r="O310" s="13">
        <v>7223.28</v>
      </c>
      <c r="P310" s="13">
        <v>201.41399999999999</v>
      </c>
      <c r="Q310" s="13">
        <v>1460.9870000000001</v>
      </c>
      <c r="X310" s="2"/>
    </row>
    <row r="311" spans="1:24" ht="15" customHeight="1" x14ac:dyDescent="0.25">
      <c r="A311" s="15">
        <v>45030</v>
      </c>
      <c r="B311" s="15">
        <v>45044</v>
      </c>
      <c r="C311" s="15">
        <v>45057</v>
      </c>
      <c r="D311" s="13">
        <f t="shared" si="9"/>
        <v>4293009.7610000009</v>
      </c>
      <c r="E311" s="13">
        <v>1104180.0390000001</v>
      </c>
      <c r="F311" s="13">
        <v>730509.28899999999</v>
      </c>
      <c r="G311" s="13">
        <v>1566749.966</v>
      </c>
      <c r="H311" s="13">
        <v>414996.125</v>
      </c>
      <c r="I311" s="13">
        <v>58198.241999999998</v>
      </c>
      <c r="J311" s="13">
        <v>54138.165999999997</v>
      </c>
      <c r="K311" s="13">
        <v>321914.527</v>
      </c>
      <c r="L311" s="13">
        <v>28905.919999999998</v>
      </c>
      <c r="M311" s="13">
        <v>2602.91</v>
      </c>
      <c r="N311" s="13">
        <v>1861.9059999999999</v>
      </c>
      <c r="O311" s="13">
        <v>7223.3130000000001</v>
      </c>
      <c r="P311" s="13">
        <v>268.37099999999998</v>
      </c>
      <c r="Q311" s="13">
        <v>1460.9870000000001</v>
      </c>
      <c r="X311" s="2"/>
    </row>
    <row r="312" spans="1:24" s="50" customFormat="1" ht="15" customHeight="1" x14ac:dyDescent="0.25">
      <c r="A312" s="15">
        <v>45044</v>
      </c>
      <c r="B312" s="15">
        <v>45058</v>
      </c>
      <c r="C312" s="15">
        <v>45071</v>
      </c>
      <c r="D312" s="13">
        <f t="shared" si="9"/>
        <v>4316444.165</v>
      </c>
      <c r="E312" s="13">
        <v>1110962.9269999999</v>
      </c>
      <c r="F312" s="13">
        <v>697963.06599999999</v>
      </c>
      <c r="G312" s="13">
        <v>1512706.4350000001</v>
      </c>
      <c r="H312" s="13">
        <v>499049.09700000001</v>
      </c>
      <c r="I312" s="13">
        <v>62913.241000000002</v>
      </c>
      <c r="J312" s="13">
        <v>72460.004000000001</v>
      </c>
      <c r="K312" s="13">
        <v>316861.09700000001</v>
      </c>
      <c r="L312" s="13">
        <v>29495.975000000002</v>
      </c>
      <c r="M312" s="13">
        <v>2601.3649999999998</v>
      </c>
      <c r="N312" s="13">
        <v>1855.732</v>
      </c>
      <c r="O312" s="13">
        <v>7223.3469999999998</v>
      </c>
      <c r="P312" s="13">
        <v>839.04700000000003</v>
      </c>
      <c r="Q312" s="13">
        <v>1512.8320000000001</v>
      </c>
      <c r="X312" s="2"/>
    </row>
    <row r="313" spans="1:24" s="50" customFormat="1" ht="15" customHeight="1" x14ac:dyDescent="0.25">
      <c r="A313" s="15">
        <v>45058</v>
      </c>
      <c r="B313" s="15">
        <v>45072</v>
      </c>
      <c r="C313" s="15">
        <v>45085</v>
      </c>
      <c r="D313" s="13">
        <f t="shared" ref="D313:D325" si="10">+SUM(E313:Q313)</f>
        <v>4249052.9730000012</v>
      </c>
      <c r="E313" s="13">
        <v>1029536.186</v>
      </c>
      <c r="F313" s="13">
        <v>678238.47699999996</v>
      </c>
      <c r="G313" s="13">
        <v>1417758.3970000001</v>
      </c>
      <c r="H313" s="13">
        <v>601680.723</v>
      </c>
      <c r="I313" s="13">
        <v>76285.42</v>
      </c>
      <c r="J313" s="13">
        <v>82914.812000000005</v>
      </c>
      <c r="K313" s="13">
        <v>317338.859</v>
      </c>
      <c r="L313" s="13">
        <v>31875.751</v>
      </c>
      <c r="M313" s="13">
        <v>2593.2170000000001</v>
      </c>
      <c r="N313" s="13">
        <v>1855.0909999999999</v>
      </c>
      <c r="O313" s="13">
        <v>7253.3829999999998</v>
      </c>
      <c r="P313" s="13">
        <v>209.82499999999999</v>
      </c>
      <c r="Q313" s="13">
        <v>1512.8320000000001</v>
      </c>
      <c r="X313" s="2"/>
    </row>
    <row r="314" spans="1:24" s="50" customFormat="1" ht="15" customHeight="1" x14ac:dyDescent="0.25">
      <c r="A314" s="15">
        <v>45072</v>
      </c>
      <c r="B314" s="15">
        <v>45086</v>
      </c>
      <c r="C314" s="15">
        <v>45099</v>
      </c>
      <c r="D314" s="13">
        <f t="shared" si="10"/>
        <v>4205785.3829999994</v>
      </c>
      <c r="E314" s="13">
        <v>991796.17500000005</v>
      </c>
      <c r="F314" s="13">
        <v>635206.45400000003</v>
      </c>
      <c r="G314" s="13">
        <v>1420235.986</v>
      </c>
      <c r="H314" s="13">
        <v>632981.30599999998</v>
      </c>
      <c r="I314" s="13">
        <v>76502.653999999995</v>
      </c>
      <c r="J314" s="13">
        <v>84502.063999999998</v>
      </c>
      <c r="K314" s="13">
        <v>319118.71500000003</v>
      </c>
      <c r="L314" s="13">
        <v>31674.685000000001</v>
      </c>
      <c r="M314" s="13">
        <v>2293.2170000000001</v>
      </c>
      <c r="N314" s="13">
        <v>1854.037</v>
      </c>
      <c r="O314" s="13">
        <v>7253.415</v>
      </c>
      <c r="P314" s="13">
        <v>728.41899999999998</v>
      </c>
      <c r="Q314" s="13">
        <v>1638.2560000000001</v>
      </c>
      <c r="X314" s="2"/>
    </row>
    <row r="315" spans="1:24" s="50" customFormat="1" ht="15" customHeight="1" x14ac:dyDescent="0.25">
      <c r="A315" s="15">
        <v>45086</v>
      </c>
      <c r="B315" s="15">
        <v>45100</v>
      </c>
      <c r="C315" s="15">
        <v>45113</v>
      </c>
      <c r="D315" s="13">
        <f t="shared" si="10"/>
        <v>4243435.0149999997</v>
      </c>
      <c r="E315" s="13">
        <v>987462.06200000003</v>
      </c>
      <c r="F315" s="13">
        <v>640643.47</v>
      </c>
      <c r="G315" s="13">
        <v>1429551.101</v>
      </c>
      <c r="H315" s="13">
        <v>658586.73699999996</v>
      </c>
      <c r="I315" s="13">
        <v>76855.267999999996</v>
      </c>
      <c r="J315" s="13">
        <v>86278.053</v>
      </c>
      <c r="K315" s="13">
        <v>319614.78499999997</v>
      </c>
      <c r="L315" s="13">
        <v>31074.936000000002</v>
      </c>
      <c r="M315" s="13">
        <v>2281.8119999999999</v>
      </c>
      <c r="N315" s="13">
        <v>1851.8610000000001</v>
      </c>
      <c r="O315" s="13">
        <v>6843.45</v>
      </c>
      <c r="P315" s="13">
        <v>753.22400000000005</v>
      </c>
      <c r="Q315" s="13">
        <v>1638.2560000000001</v>
      </c>
      <c r="X315" s="2"/>
    </row>
    <row r="316" spans="1:24" s="50" customFormat="1" ht="15" customHeight="1" x14ac:dyDescent="0.25">
      <c r="A316" s="15">
        <v>45100</v>
      </c>
      <c r="B316" s="15">
        <v>45114</v>
      </c>
      <c r="C316" s="15">
        <v>45127</v>
      </c>
      <c r="D316" s="13">
        <f t="shared" si="10"/>
        <v>4656544.9890000001</v>
      </c>
      <c r="E316" s="13">
        <v>1181852.4210000001</v>
      </c>
      <c r="F316" s="13">
        <v>743809.56099999999</v>
      </c>
      <c r="G316" s="13">
        <v>1478328.8230000001</v>
      </c>
      <c r="H316" s="13">
        <v>693759.85600000003</v>
      </c>
      <c r="I316" s="13">
        <v>77503.274999999994</v>
      </c>
      <c r="J316" s="13">
        <v>90720.444000000003</v>
      </c>
      <c r="K316" s="13">
        <v>345201.95500000002</v>
      </c>
      <c r="L316" s="13">
        <v>31387.732</v>
      </c>
      <c r="M316" s="13">
        <v>2281.8119999999999</v>
      </c>
      <c r="N316" s="13">
        <v>1851.8610000000001</v>
      </c>
      <c r="O316" s="13">
        <v>6843.4849999999997</v>
      </c>
      <c r="P316" s="13">
        <v>958.03</v>
      </c>
      <c r="Q316" s="13">
        <v>2045.7339999999999</v>
      </c>
      <c r="X316" s="2"/>
    </row>
    <row r="317" spans="1:24" s="50" customFormat="1" ht="15" customHeight="1" x14ac:dyDescent="0.25">
      <c r="A317" s="15">
        <v>45114</v>
      </c>
      <c r="B317" s="15">
        <v>45128</v>
      </c>
      <c r="C317" s="15">
        <v>45141</v>
      </c>
      <c r="D317" s="13">
        <f t="shared" si="10"/>
        <v>4604866.6119999997</v>
      </c>
      <c r="E317" s="13">
        <v>1049354.1189999999</v>
      </c>
      <c r="F317" s="13">
        <v>758535.98100000003</v>
      </c>
      <c r="G317" s="13">
        <v>1478703.449</v>
      </c>
      <c r="H317" s="13">
        <v>748872.33499999996</v>
      </c>
      <c r="I317" s="13">
        <v>79890.642000000007</v>
      </c>
      <c r="J317" s="13">
        <v>91358.008000000002</v>
      </c>
      <c r="K317" s="13">
        <v>351480.71899999998</v>
      </c>
      <c r="L317" s="13">
        <v>32845.014999999999</v>
      </c>
      <c r="M317" s="13">
        <v>2313.3560000000002</v>
      </c>
      <c r="N317" s="13">
        <v>1848.1780000000001</v>
      </c>
      <c r="O317" s="13">
        <v>6843.5190000000002</v>
      </c>
      <c r="P317" s="13">
        <v>775.55700000000002</v>
      </c>
      <c r="Q317" s="13">
        <v>2045.7339999999999</v>
      </c>
      <c r="X317" s="2"/>
    </row>
    <row r="318" spans="1:24" s="50" customFormat="1" ht="15" customHeight="1" x14ac:dyDescent="0.25">
      <c r="A318" s="15">
        <v>45128</v>
      </c>
      <c r="B318" s="15">
        <v>45142</v>
      </c>
      <c r="C318" s="15">
        <v>45155</v>
      </c>
      <c r="D318" s="13">
        <f t="shared" si="10"/>
        <v>6834034.3090000004</v>
      </c>
      <c r="E318" s="13">
        <v>1095768.3670000001</v>
      </c>
      <c r="F318" s="13">
        <v>861891.96</v>
      </c>
      <c r="G318" s="13">
        <v>1915497.1629999999</v>
      </c>
      <c r="H318" s="13">
        <v>1929279.5689999999</v>
      </c>
      <c r="I318" s="13">
        <v>294222.32699999999</v>
      </c>
      <c r="J318" s="13">
        <v>328509.24400000001</v>
      </c>
      <c r="K318" s="13">
        <v>360863.98499999999</v>
      </c>
      <c r="L318" s="13">
        <v>33838.798000000003</v>
      </c>
      <c r="M318" s="13">
        <v>2304.8429999999998</v>
      </c>
      <c r="N318" s="13">
        <v>1868.42</v>
      </c>
      <c r="O318" s="13">
        <v>6843.5540000000001</v>
      </c>
      <c r="P318" s="13">
        <v>768.11300000000006</v>
      </c>
      <c r="Q318" s="13">
        <v>2377.9659999999999</v>
      </c>
      <c r="X318" s="2"/>
    </row>
    <row r="319" spans="1:24" s="50" customFormat="1" ht="15" customHeight="1" x14ac:dyDescent="0.25">
      <c r="A319" s="15">
        <v>45142</v>
      </c>
      <c r="B319" s="15">
        <v>45156</v>
      </c>
      <c r="C319" s="15">
        <v>45169</v>
      </c>
      <c r="D319" s="13">
        <f t="shared" si="10"/>
        <v>7086985.6509999996</v>
      </c>
      <c r="E319" s="13">
        <v>1133577.83</v>
      </c>
      <c r="F319" s="13">
        <v>814677.64399999997</v>
      </c>
      <c r="G319" s="13">
        <v>1883486.0959999999</v>
      </c>
      <c r="H319" s="13">
        <v>2179624.2420000001</v>
      </c>
      <c r="I319" s="13">
        <v>305972.90000000002</v>
      </c>
      <c r="J319" s="13">
        <v>335943.17200000002</v>
      </c>
      <c r="K319" s="13">
        <v>382539.58299999998</v>
      </c>
      <c r="L319" s="13">
        <v>37142.593999999997</v>
      </c>
      <c r="M319" s="13">
        <v>2285.181</v>
      </c>
      <c r="N319" s="13">
        <v>2012.9670000000001</v>
      </c>
      <c r="O319" s="13">
        <v>6413.8109999999997</v>
      </c>
      <c r="P319" s="13">
        <v>931.66499999999996</v>
      </c>
      <c r="Q319" s="13">
        <v>2377.9659999999999</v>
      </c>
      <c r="X319" s="2"/>
    </row>
    <row r="320" spans="1:24" s="50" customFormat="1" ht="15" customHeight="1" x14ac:dyDescent="0.25">
      <c r="A320" s="15">
        <v>45156</v>
      </c>
      <c r="B320" s="15">
        <v>45170</v>
      </c>
      <c r="C320" s="15">
        <v>45183</v>
      </c>
      <c r="D320" s="13">
        <f t="shared" si="10"/>
        <v>7271100.5640000002</v>
      </c>
      <c r="E320" s="13">
        <v>1165272.054</v>
      </c>
      <c r="F320" s="13">
        <v>812469.46900000004</v>
      </c>
      <c r="G320" s="13">
        <v>1873240.2139999999</v>
      </c>
      <c r="H320" s="13">
        <v>2332942.6069999998</v>
      </c>
      <c r="I320" s="13">
        <v>318986.39500000002</v>
      </c>
      <c r="J320" s="13">
        <v>332794.63199999998</v>
      </c>
      <c r="K320" s="13">
        <v>383478.815</v>
      </c>
      <c r="L320" s="13">
        <v>37474.925000000003</v>
      </c>
      <c r="M320" s="13">
        <v>2276.4789999999998</v>
      </c>
      <c r="N320" s="13">
        <v>2273.8969999999999</v>
      </c>
      <c r="O320" s="13">
        <v>6413.8469999999998</v>
      </c>
      <c r="P320" s="13">
        <v>989.952</v>
      </c>
      <c r="Q320" s="13">
        <v>2487.2779999999998</v>
      </c>
      <c r="X320" s="2"/>
    </row>
    <row r="321" spans="1:24" s="50" customFormat="1" ht="15" customHeight="1" x14ac:dyDescent="0.25">
      <c r="A321" s="15">
        <v>45170</v>
      </c>
      <c r="B321" s="15">
        <v>45184</v>
      </c>
      <c r="C321" s="15">
        <v>45197</v>
      </c>
      <c r="D321" s="13">
        <f t="shared" si="10"/>
        <v>7268915.8729999997</v>
      </c>
      <c r="E321" s="13">
        <v>1158622.341</v>
      </c>
      <c r="F321" s="13">
        <v>792808.38</v>
      </c>
      <c r="G321" s="13">
        <v>1904789.6939999999</v>
      </c>
      <c r="H321" s="13">
        <v>2320747.0219999999</v>
      </c>
      <c r="I321" s="13">
        <v>320015.95299999998</v>
      </c>
      <c r="J321" s="13">
        <v>334306.83600000001</v>
      </c>
      <c r="K321" s="13">
        <v>385281.08199999999</v>
      </c>
      <c r="L321" s="13">
        <v>37296.885999999999</v>
      </c>
      <c r="M321" s="13">
        <v>2274.1950000000002</v>
      </c>
      <c r="N321" s="13">
        <v>2792.817</v>
      </c>
      <c r="O321" s="13">
        <v>6413.88</v>
      </c>
      <c r="P321" s="13">
        <v>1079.509</v>
      </c>
      <c r="Q321" s="13">
        <v>2487.2779999999998</v>
      </c>
      <c r="X321" s="2"/>
    </row>
    <row r="322" spans="1:24" s="50" customFormat="1" ht="15" customHeight="1" x14ac:dyDescent="0.25">
      <c r="A322" s="15">
        <v>45184</v>
      </c>
      <c r="B322" s="15">
        <v>45198</v>
      </c>
      <c r="C322" s="15">
        <v>45211</v>
      </c>
      <c r="D322" s="13">
        <f t="shared" si="10"/>
        <v>7519786.3710000003</v>
      </c>
      <c r="E322" s="13">
        <v>1227153.7439999999</v>
      </c>
      <c r="F322" s="13">
        <v>790218.424</v>
      </c>
      <c r="G322" s="13">
        <v>2090045.2420000001</v>
      </c>
      <c r="H322" s="13">
        <v>2299264.0529999998</v>
      </c>
      <c r="I322" s="13">
        <v>328929.75599999999</v>
      </c>
      <c r="J322" s="13">
        <v>338402.935</v>
      </c>
      <c r="K322" s="13">
        <v>394062.28499999997</v>
      </c>
      <c r="L322" s="13">
        <v>37084.288</v>
      </c>
      <c r="M322" s="13">
        <v>2554.3890000000001</v>
      </c>
      <c r="N322" s="13">
        <v>2912.377</v>
      </c>
      <c r="O322" s="13">
        <v>6413.915</v>
      </c>
      <c r="P322" s="13">
        <v>869.46100000000001</v>
      </c>
      <c r="Q322" s="13">
        <v>1875.502</v>
      </c>
      <c r="X322" s="2"/>
    </row>
    <row r="323" spans="1:24" s="50" customFormat="1" ht="15" customHeight="1" x14ac:dyDescent="0.25">
      <c r="A323" s="15">
        <v>45198</v>
      </c>
      <c r="B323" s="15">
        <v>45212</v>
      </c>
      <c r="C323" s="15">
        <v>45225</v>
      </c>
      <c r="D323" s="13">
        <f t="shared" si="10"/>
        <v>7693263.0040000007</v>
      </c>
      <c r="E323" s="13">
        <v>1205616.3259999999</v>
      </c>
      <c r="F323" s="13">
        <v>793668.26500000001</v>
      </c>
      <c r="G323" s="13">
        <v>2235527.392</v>
      </c>
      <c r="H323" s="13">
        <v>2285946.8689999999</v>
      </c>
      <c r="I323" s="13">
        <v>365074.91600000003</v>
      </c>
      <c r="J323" s="13">
        <v>353375.67800000001</v>
      </c>
      <c r="K323" s="13">
        <v>402197.848</v>
      </c>
      <c r="L323" s="13">
        <v>36882.525999999998</v>
      </c>
      <c r="M323" s="13">
        <v>2919.098</v>
      </c>
      <c r="N323" s="13">
        <v>3000.8530000000001</v>
      </c>
      <c r="O323" s="13">
        <v>6413.9489999999996</v>
      </c>
      <c r="P323" s="13">
        <v>763.78200000000004</v>
      </c>
      <c r="Q323" s="13">
        <v>1875.502</v>
      </c>
      <c r="X323" s="2"/>
    </row>
    <row r="324" spans="1:24" s="50" customFormat="1" ht="15" customHeight="1" x14ac:dyDescent="0.25">
      <c r="A324" s="15">
        <v>45212</v>
      </c>
      <c r="B324" s="15">
        <v>45226</v>
      </c>
      <c r="C324" s="15">
        <v>45239</v>
      </c>
      <c r="D324" s="13">
        <f t="shared" si="10"/>
        <v>7785852.5160000017</v>
      </c>
      <c r="E324" s="13">
        <v>1127809.9990000001</v>
      </c>
      <c r="F324" s="13">
        <v>833069.14099999995</v>
      </c>
      <c r="G324" s="13">
        <v>2373562.59</v>
      </c>
      <c r="H324" s="13">
        <v>2222371.2590000001</v>
      </c>
      <c r="I324" s="13">
        <v>411327.19400000002</v>
      </c>
      <c r="J324" s="13">
        <v>366522.201</v>
      </c>
      <c r="K324" s="13">
        <v>397843.58500000002</v>
      </c>
      <c r="L324" s="13">
        <v>38140.262999999999</v>
      </c>
      <c r="M324" s="13">
        <v>2840.4650000000001</v>
      </c>
      <c r="N324" s="13">
        <v>2998.6950000000002</v>
      </c>
      <c r="O324" s="13">
        <v>6413.9840000000004</v>
      </c>
      <c r="P324" s="13">
        <v>648.74099999999999</v>
      </c>
      <c r="Q324" s="13">
        <v>2304.3989999999999</v>
      </c>
      <c r="X324" s="2"/>
    </row>
    <row r="325" spans="1:24" s="50" customFormat="1" ht="15" customHeight="1" x14ac:dyDescent="0.25">
      <c r="A325" s="15">
        <v>45226</v>
      </c>
      <c r="B325" s="15">
        <v>45240</v>
      </c>
      <c r="C325" s="15">
        <v>45253</v>
      </c>
      <c r="D325" s="13">
        <f t="shared" si="10"/>
        <v>7976458.6830000002</v>
      </c>
      <c r="E325" s="13">
        <v>1177005.737</v>
      </c>
      <c r="F325" s="13">
        <v>927902.31799999997</v>
      </c>
      <c r="G325" s="13">
        <v>2387044.4449999998</v>
      </c>
      <c r="H325" s="13">
        <v>2157453.7400000002</v>
      </c>
      <c r="I325" s="13">
        <v>458500.98599999998</v>
      </c>
      <c r="J325" s="13">
        <v>393085.34399999998</v>
      </c>
      <c r="K325" s="13">
        <v>422477.31199999998</v>
      </c>
      <c r="L325" s="13">
        <v>37912.387999999999</v>
      </c>
      <c r="M325" s="13">
        <v>3246.2550000000001</v>
      </c>
      <c r="N325" s="13">
        <v>2992.4830000000002</v>
      </c>
      <c r="O325" s="13">
        <v>5877.7110000000002</v>
      </c>
      <c r="P325" s="13">
        <v>655.56500000000005</v>
      </c>
      <c r="Q325" s="13">
        <v>2304.3989999999999</v>
      </c>
      <c r="X325" s="2"/>
    </row>
    <row r="326" spans="1:24" s="50" customFormat="1" ht="15" customHeight="1" x14ac:dyDescent="0.25">
      <c r="A326" s="15">
        <v>45240</v>
      </c>
      <c r="B326" s="15">
        <v>45254</v>
      </c>
      <c r="C326" s="15">
        <v>45267</v>
      </c>
      <c r="D326" s="13">
        <f t="shared" ref="D326:D363" si="11">+SUM(E326:Q326)</f>
        <v>7967811.5370000014</v>
      </c>
      <c r="E326" s="13">
        <v>1128950.148</v>
      </c>
      <c r="F326" s="13">
        <v>869988.147</v>
      </c>
      <c r="G326" s="13">
        <v>2483860.1970000002</v>
      </c>
      <c r="H326" s="13">
        <v>2023813.34</v>
      </c>
      <c r="I326" s="13">
        <v>572548.05900000001</v>
      </c>
      <c r="J326" s="13">
        <v>420502.98499999999</v>
      </c>
      <c r="K326" s="13">
        <v>415313.69500000001</v>
      </c>
      <c r="L326" s="13">
        <v>39206.357000000004</v>
      </c>
      <c r="M326" s="13">
        <v>3676.9430000000002</v>
      </c>
      <c r="N326" s="13">
        <v>2991.8420000000001</v>
      </c>
      <c r="O326" s="13">
        <v>5982.7120000000004</v>
      </c>
      <c r="P326" s="13">
        <v>977.11199999999997</v>
      </c>
      <c r="Q326" s="13">
        <v>0</v>
      </c>
      <c r="X326" s="2"/>
    </row>
    <row r="327" spans="1:24" s="50" customFormat="1" ht="15" customHeight="1" x14ac:dyDescent="0.25">
      <c r="A327" s="15">
        <v>45254</v>
      </c>
      <c r="B327" s="15">
        <v>45268</v>
      </c>
      <c r="C327" s="15">
        <v>45281</v>
      </c>
      <c r="D327" s="13">
        <f t="shared" si="11"/>
        <v>8151617.5800000001</v>
      </c>
      <c r="E327" s="13">
        <v>1158530.2949999999</v>
      </c>
      <c r="F327" s="13">
        <v>886050.451</v>
      </c>
      <c r="G327" s="13">
        <v>2539898.2209999999</v>
      </c>
      <c r="H327" s="13">
        <v>1935984.192</v>
      </c>
      <c r="I327" s="13">
        <v>674358.36399999994</v>
      </c>
      <c r="J327" s="13">
        <v>438081.73100000003</v>
      </c>
      <c r="K327" s="13">
        <v>463933.1</v>
      </c>
      <c r="L327" s="13">
        <v>41469.338000000003</v>
      </c>
      <c r="M327" s="13">
        <v>3173.9360000000001</v>
      </c>
      <c r="N327" s="13">
        <v>3029.0390000000002</v>
      </c>
      <c r="O327" s="13">
        <v>5982.7120000000004</v>
      </c>
      <c r="P327" s="13">
        <v>1126.201</v>
      </c>
      <c r="Q327" s="13">
        <v>0</v>
      </c>
      <c r="X327" s="2"/>
    </row>
    <row r="328" spans="1:24" s="50" customFormat="1" ht="15" customHeight="1" x14ac:dyDescent="0.25">
      <c r="A328" s="15">
        <v>45268</v>
      </c>
      <c r="B328" s="15">
        <v>45282</v>
      </c>
      <c r="C328" s="15">
        <v>45295</v>
      </c>
      <c r="D328" s="13">
        <f t="shared" si="11"/>
        <v>8204277.3060000008</v>
      </c>
      <c r="E328" s="13">
        <v>1121741.8330000001</v>
      </c>
      <c r="F328" s="13">
        <v>848140.25</v>
      </c>
      <c r="G328" s="13">
        <v>2580465.125</v>
      </c>
      <c r="H328" s="13">
        <v>1921003.5959999999</v>
      </c>
      <c r="I328" s="13">
        <v>754908.20499999996</v>
      </c>
      <c r="J328" s="13">
        <v>455566.87900000002</v>
      </c>
      <c r="K328" s="13">
        <v>466322.359</v>
      </c>
      <c r="L328" s="13">
        <v>45003.946000000004</v>
      </c>
      <c r="M328" s="13">
        <v>4533.5200000000004</v>
      </c>
      <c r="N328" s="13">
        <v>3120.3539999999998</v>
      </c>
      <c r="O328" s="13">
        <v>2928.4450000000002</v>
      </c>
      <c r="P328" s="13">
        <v>542.79399999999998</v>
      </c>
      <c r="Q328" s="13">
        <v>0</v>
      </c>
      <c r="X328" s="2"/>
    </row>
    <row r="329" spans="1:24" s="50" customFormat="1" ht="15" customHeight="1" x14ac:dyDescent="0.25">
      <c r="A329" s="15">
        <v>45282</v>
      </c>
      <c r="B329" s="15">
        <v>45296</v>
      </c>
      <c r="C329" s="15">
        <v>45309</v>
      </c>
      <c r="D329" s="13">
        <f t="shared" si="11"/>
        <v>8519089.8499999996</v>
      </c>
      <c r="E329" s="13">
        <v>1170779.7239999999</v>
      </c>
      <c r="F329" s="13">
        <v>988686.44900000002</v>
      </c>
      <c r="G329" s="13">
        <v>2591891.594</v>
      </c>
      <c r="H329" s="13">
        <v>1924973.047</v>
      </c>
      <c r="I329" s="13">
        <v>831326.93500000006</v>
      </c>
      <c r="J329" s="13">
        <v>471154.14500000002</v>
      </c>
      <c r="K329" s="13">
        <v>482054.81699999998</v>
      </c>
      <c r="L329" s="13">
        <v>46226.9</v>
      </c>
      <c r="M329" s="13">
        <v>5144.3549999999996</v>
      </c>
      <c r="N329" s="13">
        <v>3145.2779999999998</v>
      </c>
      <c r="O329" s="13">
        <v>2993.645</v>
      </c>
      <c r="P329" s="13">
        <v>712.96100000000001</v>
      </c>
      <c r="Q329" s="13">
        <v>0</v>
      </c>
      <c r="X329" s="2"/>
    </row>
    <row r="330" spans="1:24" s="50" customFormat="1" ht="15" customHeight="1" x14ac:dyDescent="0.25">
      <c r="A330" s="15">
        <v>45296</v>
      </c>
      <c r="B330" s="15">
        <v>45310</v>
      </c>
      <c r="C330" s="15">
        <v>45323</v>
      </c>
      <c r="D330" s="13">
        <f t="shared" si="11"/>
        <v>8454865.1779999994</v>
      </c>
      <c r="E330" s="13">
        <v>1105069.541</v>
      </c>
      <c r="F330" s="13">
        <v>909978.43500000006</v>
      </c>
      <c r="G330" s="13">
        <v>2590511.6540000001</v>
      </c>
      <c r="H330" s="13">
        <v>1895258.4720000001</v>
      </c>
      <c r="I330" s="13">
        <v>915748.90700000001</v>
      </c>
      <c r="J330" s="13">
        <v>482911.141</v>
      </c>
      <c r="K330" s="13">
        <v>494589.29300000001</v>
      </c>
      <c r="L330" s="13">
        <v>47508.383999999998</v>
      </c>
      <c r="M330" s="13">
        <v>6307.71</v>
      </c>
      <c r="N330" s="13">
        <v>3216.4070000000002</v>
      </c>
      <c r="O330" s="13">
        <v>2892.7109999999998</v>
      </c>
      <c r="P330" s="13">
        <v>872.52300000000002</v>
      </c>
      <c r="Q330" s="13">
        <v>0</v>
      </c>
      <c r="X330" s="2"/>
    </row>
    <row r="331" spans="1:24" s="50" customFormat="1" ht="15" customHeight="1" x14ac:dyDescent="0.25">
      <c r="A331" s="15">
        <v>45310</v>
      </c>
      <c r="B331" s="15">
        <v>45324</v>
      </c>
      <c r="C331" s="15">
        <v>45337</v>
      </c>
      <c r="D331" s="13">
        <f t="shared" si="11"/>
        <v>8604448.0519999992</v>
      </c>
      <c r="E331" s="13">
        <v>1155791.3770000001</v>
      </c>
      <c r="F331" s="13">
        <v>972549.16299999994</v>
      </c>
      <c r="G331" s="13">
        <v>2552301.841</v>
      </c>
      <c r="H331" s="13">
        <v>1810618.9469999999</v>
      </c>
      <c r="I331" s="13">
        <v>1053153.0149999999</v>
      </c>
      <c r="J331" s="13">
        <v>496462.14299999998</v>
      </c>
      <c r="K331" s="13">
        <v>500319.32900000003</v>
      </c>
      <c r="L331" s="13">
        <v>49363.428</v>
      </c>
      <c r="M331" s="13">
        <v>6469.982</v>
      </c>
      <c r="N331" s="13">
        <v>3216.4070000000002</v>
      </c>
      <c r="O331" s="13">
        <v>2932.27</v>
      </c>
      <c r="P331" s="13">
        <v>1270.1500000000001</v>
      </c>
      <c r="Q331" s="13">
        <v>0</v>
      </c>
      <c r="X331" s="2"/>
    </row>
    <row r="332" spans="1:24" s="50" customFormat="1" ht="15" customHeight="1" x14ac:dyDescent="0.25">
      <c r="A332" s="15">
        <v>45324</v>
      </c>
      <c r="B332" s="15">
        <v>45338</v>
      </c>
      <c r="C332" s="15">
        <v>45351</v>
      </c>
      <c r="D332" s="13">
        <f t="shared" si="11"/>
        <v>8515119.7319999989</v>
      </c>
      <c r="E332" s="13">
        <v>1176551.737</v>
      </c>
      <c r="F332" s="13">
        <v>899945.74399999995</v>
      </c>
      <c r="G332" s="13">
        <v>2474214.2930000001</v>
      </c>
      <c r="H332" s="13">
        <v>1682515.0560000001</v>
      </c>
      <c r="I332" s="13">
        <v>1195118.8489999999</v>
      </c>
      <c r="J332" s="13">
        <v>504903.07699999999</v>
      </c>
      <c r="K332" s="13">
        <v>514422.38699999999</v>
      </c>
      <c r="L332" s="13">
        <v>53153.349000000002</v>
      </c>
      <c r="M332" s="13">
        <v>6624.8050000000003</v>
      </c>
      <c r="N332" s="13">
        <v>3448.8850000000002</v>
      </c>
      <c r="O332" s="13">
        <v>2945.4569999999999</v>
      </c>
      <c r="P332" s="13">
        <v>1276.0930000000001</v>
      </c>
      <c r="Q332" s="13">
        <v>0</v>
      </c>
      <c r="X332" s="2"/>
    </row>
    <row r="333" spans="1:24" s="50" customFormat="1" ht="15" customHeight="1" x14ac:dyDescent="0.25">
      <c r="A333" s="15">
        <v>45338</v>
      </c>
      <c r="B333" s="15">
        <v>45352</v>
      </c>
      <c r="C333" s="15">
        <v>45365</v>
      </c>
      <c r="D333" s="13">
        <f t="shared" si="11"/>
        <v>8728926.5669999979</v>
      </c>
      <c r="E333" s="13">
        <v>1267723.149</v>
      </c>
      <c r="F333" s="13">
        <v>924501.67700000003</v>
      </c>
      <c r="G333" s="13">
        <v>2455763.0260000001</v>
      </c>
      <c r="H333" s="13">
        <v>1654438.23</v>
      </c>
      <c r="I333" s="13">
        <v>1306898.923</v>
      </c>
      <c r="J333" s="13">
        <v>519232.55900000001</v>
      </c>
      <c r="K333" s="13">
        <v>530003.57400000002</v>
      </c>
      <c r="L333" s="13">
        <v>55924.813000000002</v>
      </c>
      <c r="M333" s="13">
        <v>6612.4610000000002</v>
      </c>
      <c r="N333" s="13">
        <v>3448.5520000000001</v>
      </c>
      <c r="O333" s="13">
        <v>2892.7109999999998</v>
      </c>
      <c r="P333" s="13">
        <v>1486.8920000000001</v>
      </c>
      <c r="Q333" s="13">
        <v>0</v>
      </c>
      <c r="X333" s="2"/>
    </row>
    <row r="334" spans="1:24" s="50" customFormat="1" ht="15" customHeight="1" x14ac:dyDescent="0.25">
      <c r="A334" s="15">
        <v>45352</v>
      </c>
      <c r="B334" s="15">
        <v>45366</v>
      </c>
      <c r="C334" s="15">
        <v>45379</v>
      </c>
      <c r="D334" s="13">
        <f t="shared" si="11"/>
        <v>8747186.3839999996</v>
      </c>
      <c r="E334" s="13">
        <v>1253676.517</v>
      </c>
      <c r="F334" s="13">
        <v>868663.353</v>
      </c>
      <c r="G334" s="13">
        <v>2474732.2579999999</v>
      </c>
      <c r="H334" s="13">
        <v>1636555.4180000001</v>
      </c>
      <c r="I334" s="13">
        <v>1375908.83</v>
      </c>
      <c r="J334" s="13">
        <v>525863.36699999997</v>
      </c>
      <c r="K334" s="13">
        <v>538299.41599999997</v>
      </c>
      <c r="L334" s="13">
        <v>58874.98</v>
      </c>
      <c r="M334" s="13">
        <v>6480.6109999999999</v>
      </c>
      <c r="N334" s="13">
        <v>3675.8409999999999</v>
      </c>
      <c r="O334" s="13">
        <v>2892.7109999999998</v>
      </c>
      <c r="P334" s="13">
        <v>1563.0820000000001</v>
      </c>
      <c r="Q334" s="13">
        <v>0</v>
      </c>
      <c r="X334" s="2"/>
    </row>
    <row r="335" spans="1:24" s="50" customFormat="1" ht="15" customHeight="1" x14ac:dyDescent="0.25">
      <c r="A335" s="15">
        <v>45366</v>
      </c>
      <c r="B335" s="15">
        <v>45380</v>
      </c>
      <c r="C335" s="15">
        <v>45393</v>
      </c>
      <c r="D335" s="13">
        <f t="shared" si="11"/>
        <v>8811235.779000001</v>
      </c>
      <c r="E335" s="13">
        <v>1291577.4040000001</v>
      </c>
      <c r="F335" s="13">
        <v>923484.73100000003</v>
      </c>
      <c r="G335" s="13">
        <v>2417440.1239999998</v>
      </c>
      <c r="H335" s="13">
        <v>1607917.3910000001</v>
      </c>
      <c r="I335" s="13">
        <v>1411543.304</v>
      </c>
      <c r="J335" s="13">
        <v>528669.31200000003</v>
      </c>
      <c r="K335" s="13">
        <v>550086.10100000002</v>
      </c>
      <c r="L335" s="13">
        <v>66042.888999999996</v>
      </c>
      <c r="M335" s="13">
        <v>6494.9769999999999</v>
      </c>
      <c r="N335" s="13">
        <v>3793.6149999999998</v>
      </c>
      <c r="O335" s="13">
        <v>1892.711</v>
      </c>
      <c r="P335" s="13">
        <v>2293.2199999999998</v>
      </c>
      <c r="Q335" s="13">
        <v>0</v>
      </c>
      <c r="X335" s="2"/>
    </row>
    <row r="336" spans="1:24" s="50" customFormat="1" ht="15" customHeight="1" x14ac:dyDescent="0.25">
      <c r="A336" s="15">
        <v>45380</v>
      </c>
      <c r="B336" s="15">
        <v>45394</v>
      </c>
      <c r="C336" s="15">
        <v>45407</v>
      </c>
      <c r="D336" s="13">
        <f t="shared" si="11"/>
        <v>8716554.3159999996</v>
      </c>
      <c r="E336" s="13">
        <v>1253501.5109999999</v>
      </c>
      <c r="F336" s="13">
        <v>874477.69700000004</v>
      </c>
      <c r="G336" s="13">
        <v>2410447.9470000002</v>
      </c>
      <c r="H336" s="13">
        <v>1562149.3940000001</v>
      </c>
      <c r="I336" s="13">
        <v>1430972.294</v>
      </c>
      <c r="J336" s="13">
        <v>536374.64300000004</v>
      </c>
      <c r="K336" s="13">
        <v>562650.78200000001</v>
      </c>
      <c r="L336" s="13">
        <v>70226.138000000006</v>
      </c>
      <c r="M336" s="13">
        <v>6395.1480000000001</v>
      </c>
      <c r="N336" s="13">
        <v>3803.85</v>
      </c>
      <c r="O336" s="13">
        <v>1892.711</v>
      </c>
      <c r="P336" s="13">
        <v>1746.5909999999999</v>
      </c>
      <c r="Q336" s="13">
        <v>1915.61</v>
      </c>
      <c r="X336" s="2"/>
    </row>
    <row r="337" spans="1:24" s="50" customFormat="1" ht="15" customHeight="1" x14ac:dyDescent="0.25">
      <c r="A337" s="15">
        <v>45391</v>
      </c>
      <c r="B337" s="15">
        <v>45408</v>
      </c>
      <c r="C337" s="15">
        <v>45421</v>
      </c>
      <c r="D337" s="13">
        <f t="shared" si="11"/>
        <v>8927424.379999999</v>
      </c>
      <c r="E337" s="13">
        <v>1221591.882</v>
      </c>
      <c r="F337" s="13">
        <v>969742.99100000004</v>
      </c>
      <c r="G337" s="13">
        <v>2525858.1239999998</v>
      </c>
      <c r="H337" s="13">
        <v>1548594.2339999999</v>
      </c>
      <c r="I337" s="13">
        <v>1436943.926</v>
      </c>
      <c r="J337" s="13">
        <v>537789.59100000001</v>
      </c>
      <c r="K337" s="13">
        <v>599403.93400000001</v>
      </c>
      <c r="L337" s="13">
        <v>71224.826000000001</v>
      </c>
      <c r="M337" s="13">
        <v>6415.3559999999998</v>
      </c>
      <c r="N337" s="13">
        <v>4049.9169999999999</v>
      </c>
      <c r="O337" s="13">
        <v>1892.711</v>
      </c>
      <c r="P337" s="13">
        <v>2001.278</v>
      </c>
      <c r="Q337" s="13">
        <v>1915.61</v>
      </c>
      <c r="X337" s="2"/>
    </row>
    <row r="338" spans="1:24" s="50" customFormat="1" ht="15" customHeight="1" x14ac:dyDescent="0.25">
      <c r="A338" s="15">
        <v>45408</v>
      </c>
      <c r="B338" s="15">
        <v>45422</v>
      </c>
      <c r="C338" s="15">
        <v>45435</v>
      </c>
      <c r="D338" s="13">
        <f t="shared" si="11"/>
        <v>9141457.9910000023</v>
      </c>
      <c r="E338" s="13">
        <v>1257396.9650000001</v>
      </c>
      <c r="F338" s="13">
        <v>1002815.129</v>
      </c>
      <c r="G338" s="13">
        <v>2686636.406</v>
      </c>
      <c r="H338" s="13">
        <v>1524244.121</v>
      </c>
      <c r="I338" s="13">
        <v>1473283.007</v>
      </c>
      <c r="J338" s="13">
        <v>526372.23199999996</v>
      </c>
      <c r="K338" s="13">
        <v>583858.978</v>
      </c>
      <c r="L338" s="13">
        <v>69942.267000000007</v>
      </c>
      <c r="M338" s="13">
        <v>7053.24</v>
      </c>
      <c r="N338" s="13">
        <v>4188.8620000000001</v>
      </c>
      <c r="O338" s="13">
        <v>1696.3409999999999</v>
      </c>
      <c r="P338" s="13">
        <v>1690.0709999999999</v>
      </c>
      <c r="Q338" s="13">
        <v>2280.3719999999998</v>
      </c>
      <c r="X338" s="2"/>
    </row>
    <row r="339" spans="1:24" s="50" customFormat="1" ht="15" customHeight="1" x14ac:dyDescent="0.25">
      <c r="A339" s="15">
        <v>45422</v>
      </c>
      <c r="B339" s="15">
        <v>45436</v>
      </c>
      <c r="C339" s="15">
        <v>45449</v>
      </c>
      <c r="D339" s="13">
        <f t="shared" si="11"/>
        <v>9333077.7660000008</v>
      </c>
      <c r="E339" s="13">
        <v>1227742.67</v>
      </c>
      <c r="F339" s="13">
        <v>971319.21200000006</v>
      </c>
      <c r="G339" s="13">
        <v>2850619.2710000002</v>
      </c>
      <c r="H339" s="13">
        <v>1589307.726</v>
      </c>
      <c r="I339" s="13">
        <v>1469143.27</v>
      </c>
      <c r="J339" s="13">
        <v>523353.79800000001</v>
      </c>
      <c r="K339" s="13">
        <v>612232.30900000001</v>
      </c>
      <c r="L339" s="13">
        <v>72152.672000000006</v>
      </c>
      <c r="M339" s="13">
        <v>7037.7749999999996</v>
      </c>
      <c r="N339" s="13">
        <v>4185.7219999999998</v>
      </c>
      <c r="O339" s="13">
        <v>1726.3409999999999</v>
      </c>
      <c r="P339" s="13">
        <v>1976.6279999999999</v>
      </c>
      <c r="Q339" s="13">
        <v>2280.3719999999998</v>
      </c>
      <c r="X339" s="2"/>
    </row>
    <row r="340" spans="1:24" s="50" customFormat="1" ht="15" customHeight="1" x14ac:dyDescent="0.25">
      <c r="A340" s="15">
        <v>45436</v>
      </c>
      <c r="B340" s="15">
        <v>45450</v>
      </c>
      <c r="C340" s="15">
        <v>45463</v>
      </c>
      <c r="D340" s="13">
        <f t="shared" si="11"/>
        <v>9850345.5410000011</v>
      </c>
      <c r="E340" s="13">
        <v>1311725.483</v>
      </c>
      <c r="F340" s="13">
        <v>1095127.3670000001</v>
      </c>
      <c r="G340" s="13">
        <v>2922707.8659999999</v>
      </c>
      <c r="H340" s="13">
        <v>1700605.3219999999</v>
      </c>
      <c r="I340" s="13">
        <v>1498621.0390000001</v>
      </c>
      <c r="J340" s="13">
        <v>529503.16200000001</v>
      </c>
      <c r="K340" s="13">
        <v>700120.85400000005</v>
      </c>
      <c r="L340" s="13">
        <v>74165.36</v>
      </c>
      <c r="M340" s="13">
        <v>7009.9750000000004</v>
      </c>
      <c r="N340" s="13">
        <v>4184.92</v>
      </c>
      <c r="O340" s="13">
        <v>1540.0830000000001</v>
      </c>
      <c r="P340" s="13">
        <v>2425.3090000000002</v>
      </c>
      <c r="Q340" s="13">
        <v>2608.8009999999999</v>
      </c>
      <c r="X340" s="2"/>
    </row>
    <row r="341" spans="1:24" s="50" customFormat="1" ht="15" customHeight="1" x14ac:dyDescent="0.25">
      <c r="A341" s="15">
        <v>45450</v>
      </c>
      <c r="B341" s="15">
        <v>45464</v>
      </c>
      <c r="C341" s="15">
        <v>45477</v>
      </c>
      <c r="D341" s="13">
        <f t="shared" si="11"/>
        <v>10035154.717</v>
      </c>
      <c r="E341" s="13">
        <v>1321230.7679999999</v>
      </c>
      <c r="F341" s="13">
        <v>1085256.406</v>
      </c>
      <c r="G341" s="13">
        <v>2930425.9130000002</v>
      </c>
      <c r="H341" s="13">
        <v>1840741.72</v>
      </c>
      <c r="I341" s="13">
        <v>1467192.7169999999</v>
      </c>
      <c r="J341" s="13">
        <v>534526.10199999996</v>
      </c>
      <c r="K341" s="13">
        <v>754028.73100000003</v>
      </c>
      <c r="L341" s="13">
        <v>83762.202000000005</v>
      </c>
      <c r="M341" s="13">
        <v>6931.4809999999998</v>
      </c>
      <c r="N341" s="13">
        <v>4194.92</v>
      </c>
      <c r="O341" s="13">
        <v>1540.0830000000001</v>
      </c>
      <c r="P341" s="13">
        <v>2714.873</v>
      </c>
      <c r="Q341" s="13">
        <v>2608.8009999999999</v>
      </c>
      <c r="X341" s="2"/>
    </row>
    <row r="342" spans="1:24" s="50" customFormat="1" ht="15" customHeight="1" x14ac:dyDescent="0.25">
      <c r="A342" s="15">
        <v>45464</v>
      </c>
      <c r="B342" s="15">
        <v>45478</v>
      </c>
      <c r="C342" s="15">
        <v>45491</v>
      </c>
      <c r="D342" s="13">
        <f t="shared" si="11"/>
        <v>10380153.170999998</v>
      </c>
      <c r="E342" s="13">
        <v>1403280.7790000001</v>
      </c>
      <c r="F342" s="13">
        <v>1287862.31</v>
      </c>
      <c r="G342" s="13">
        <v>2944481.827</v>
      </c>
      <c r="H342" s="13">
        <v>1958423.8189999999</v>
      </c>
      <c r="I342" s="13">
        <v>1422978.1839999999</v>
      </c>
      <c r="J342" s="13">
        <v>518093.234</v>
      </c>
      <c r="K342" s="13">
        <v>735270.27</v>
      </c>
      <c r="L342" s="13">
        <v>90094.471999999994</v>
      </c>
      <c r="M342" s="13">
        <v>6910.4179999999997</v>
      </c>
      <c r="N342" s="13">
        <v>4194.9210000000003</v>
      </c>
      <c r="O342" s="13">
        <v>1800.0830000000001</v>
      </c>
      <c r="P342" s="13">
        <v>2573.808</v>
      </c>
      <c r="Q342" s="13">
        <v>4189.0460000000003</v>
      </c>
      <c r="X342" s="2"/>
    </row>
    <row r="343" spans="1:24" s="50" customFormat="1" ht="15" customHeight="1" x14ac:dyDescent="0.25">
      <c r="A343" s="15">
        <v>45478</v>
      </c>
      <c r="B343" s="15">
        <v>45492</v>
      </c>
      <c r="C343" s="15">
        <v>45505</v>
      </c>
      <c r="D343" s="13">
        <f t="shared" si="11"/>
        <v>10376448.928000001</v>
      </c>
      <c r="E343" s="13">
        <v>1383709.11</v>
      </c>
      <c r="F343" s="13">
        <v>1156138.1040000001</v>
      </c>
      <c r="G343" s="13">
        <v>2941609.5529999998</v>
      </c>
      <c r="H343" s="13">
        <v>2131809.645</v>
      </c>
      <c r="I343" s="13">
        <v>1359851.5009999999</v>
      </c>
      <c r="J343" s="13">
        <v>517568.28899999999</v>
      </c>
      <c r="K343" s="13">
        <v>772805.95799999998</v>
      </c>
      <c r="L343" s="13">
        <v>92601.547000000006</v>
      </c>
      <c r="M343" s="13">
        <v>6936.7460000000001</v>
      </c>
      <c r="N343" s="13">
        <v>4185.6310000000003</v>
      </c>
      <c r="O343" s="13">
        <v>1800.0830000000001</v>
      </c>
      <c r="P343" s="13">
        <v>3243.7150000000001</v>
      </c>
      <c r="Q343" s="13">
        <v>4189.0460000000003</v>
      </c>
      <c r="X343" s="2"/>
    </row>
    <row r="344" spans="1:24" s="50" customFormat="1" ht="15" customHeight="1" x14ac:dyDescent="0.25">
      <c r="A344" s="15">
        <v>45492</v>
      </c>
      <c r="B344" s="15">
        <v>45506</v>
      </c>
      <c r="C344" s="15">
        <v>45519</v>
      </c>
      <c r="D344" s="13">
        <f t="shared" si="11"/>
        <v>10663531.514000002</v>
      </c>
      <c r="E344" s="13">
        <v>1428662.531</v>
      </c>
      <c r="F344" s="13">
        <v>1286083.8</v>
      </c>
      <c r="G344" s="13">
        <v>3015219.915</v>
      </c>
      <c r="H344" s="13">
        <v>2270465.6189999999</v>
      </c>
      <c r="I344" s="13">
        <v>1246624.1680000001</v>
      </c>
      <c r="J344" s="13">
        <v>493558.27399999998</v>
      </c>
      <c r="K344" s="13">
        <v>806944.91200000001</v>
      </c>
      <c r="L344" s="13">
        <v>93560.213000000003</v>
      </c>
      <c r="M344" s="13">
        <v>8542.9120000000003</v>
      </c>
      <c r="N344" s="13">
        <v>5092.085</v>
      </c>
      <c r="O344" s="13">
        <v>1800.0830000000001</v>
      </c>
      <c r="P344" s="13">
        <v>2787.9659999999999</v>
      </c>
      <c r="Q344" s="13">
        <v>4189.0360000000001</v>
      </c>
      <c r="X344" s="2"/>
    </row>
    <row r="345" spans="1:24" s="50" customFormat="1" ht="15" customHeight="1" x14ac:dyDescent="0.25">
      <c r="A345" s="15">
        <v>45506</v>
      </c>
      <c r="B345" s="15">
        <v>45520</v>
      </c>
      <c r="C345" s="15">
        <v>45533</v>
      </c>
      <c r="D345" s="13">
        <f t="shared" si="11"/>
        <v>10791155.524</v>
      </c>
      <c r="E345" s="13">
        <v>1491458.6629999999</v>
      </c>
      <c r="F345" s="13">
        <v>1258742.327</v>
      </c>
      <c r="G345" s="13">
        <v>3094349.2220000001</v>
      </c>
      <c r="H345" s="13">
        <v>2398973.2200000002</v>
      </c>
      <c r="I345" s="13">
        <v>1094390.7050000001</v>
      </c>
      <c r="J345" s="13">
        <v>482823.82400000002</v>
      </c>
      <c r="K345" s="13">
        <v>859327.00899999996</v>
      </c>
      <c r="L345" s="13">
        <v>89335.831999999995</v>
      </c>
      <c r="M345" s="13">
        <v>8506.6039999999994</v>
      </c>
      <c r="N345" s="13">
        <v>4577.277</v>
      </c>
      <c r="O345" s="13">
        <v>1710</v>
      </c>
      <c r="P345" s="13">
        <v>2771.8049999999998</v>
      </c>
      <c r="Q345" s="13">
        <v>4189.0360000000001</v>
      </c>
      <c r="X345" s="2"/>
    </row>
    <row r="346" spans="1:24" s="50" customFormat="1" ht="15" customHeight="1" x14ac:dyDescent="0.25">
      <c r="A346" s="15">
        <v>45520</v>
      </c>
      <c r="B346" s="15">
        <v>45537</v>
      </c>
      <c r="C346" s="15">
        <v>45547</v>
      </c>
      <c r="D346" s="13">
        <f t="shared" si="11"/>
        <v>10871095.082000002</v>
      </c>
      <c r="E346" s="13">
        <v>1496618.598</v>
      </c>
      <c r="F346" s="13">
        <v>1313277.0630000001</v>
      </c>
      <c r="G346" s="13">
        <v>3257824.1570000001</v>
      </c>
      <c r="H346" s="13">
        <v>2431323.1170000001</v>
      </c>
      <c r="I346" s="13">
        <v>961035.47</v>
      </c>
      <c r="J346" s="13">
        <v>470688.86300000001</v>
      </c>
      <c r="K346" s="13">
        <v>824668.91299999994</v>
      </c>
      <c r="L346" s="13">
        <v>91513.445000000007</v>
      </c>
      <c r="M346" s="13">
        <v>8691.8889999999992</v>
      </c>
      <c r="N346" s="13">
        <v>4703.4880000000003</v>
      </c>
      <c r="O346" s="13">
        <v>1710</v>
      </c>
      <c r="P346" s="13">
        <v>2559.011</v>
      </c>
      <c r="Q346" s="13">
        <v>6481.0680000000002</v>
      </c>
      <c r="X346" s="2"/>
    </row>
    <row r="347" spans="1:24" s="50" customFormat="1" ht="15" customHeight="1" x14ac:dyDescent="0.25">
      <c r="A347" s="15">
        <v>45533</v>
      </c>
      <c r="B347" s="15">
        <v>45548</v>
      </c>
      <c r="C347" s="15">
        <v>45561</v>
      </c>
      <c r="D347" s="13">
        <f t="shared" si="11"/>
        <v>10927712.924999999</v>
      </c>
      <c r="E347" s="13">
        <v>1539374.672</v>
      </c>
      <c r="F347" s="13">
        <v>1308544.655</v>
      </c>
      <c r="G347" s="13">
        <v>3406160.2140000002</v>
      </c>
      <c r="H347" s="13">
        <v>2370975.5869999998</v>
      </c>
      <c r="I347" s="13">
        <v>884877.03300000005</v>
      </c>
      <c r="J347" s="13">
        <v>468239.44</v>
      </c>
      <c r="K347" s="13">
        <v>828617.80700000003</v>
      </c>
      <c r="L347" s="13">
        <v>97026.808999999994</v>
      </c>
      <c r="M347" s="13">
        <v>8663.3259999999991</v>
      </c>
      <c r="N347" s="13">
        <v>4701.3819999999996</v>
      </c>
      <c r="O347" s="13">
        <v>1710</v>
      </c>
      <c r="P347" s="13">
        <v>2340.9319999999998</v>
      </c>
      <c r="Q347" s="13">
        <v>6481.0680000000002</v>
      </c>
      <c r="X347" s="2"/>
    </row>
    <row r="348" spans="1:24" s="50" customFormat="1" ht="15" customHeight="1" x14ac:dyDescent="0.25">
      <c r="A348" s="15">
        <v>45548</v>
      </c>
      <c r="B348" s="15">
        <v>45562</v>
      </c>
      <c r="C348" s="15">
        <v>45575</v>
      </c>
      <c r="D348" s="13">
        <f t="shared" si="11"/>
        <v>10921415.297999997</v>
      </c>
      <c r="E348" s="13">
        <v>1455126.0819999999</v>
      </c>
      <c r="F348" s="13">
        <v>1302525.9620000001</v>
      </c>
      <c r="G348" s="13">
        <v>3559603.8650000002</v>
      </c>
      <c r="H348" s="13">
        <v>2281080.0989999999</v>
      </c>
      <c r="I348" s="13">
        <v>840948.96100000001</v>
      </c>
      <c r="J348" s="13">
        <v>462826.93800000002</v>
      </c>
      <c r="K348" s="13">
        <v>898109.33400000003</v>
      </c>
      <c r="L348" s="13">
        <v>97240.52</v>
      </c>
      <c r="M348" s="13">
        <v>8631.5310000000009</v>
      </c>
      <c r="N348" s="13">
        <v>4580.0569999999998</v>
      </c>
      <c r="O348" s="13">
        <v>1815</v>
      </c>
      <c r="P348" s="13">
        <v>2311.4499999999998</v>
      </c>
      <c r="Q348" s="13">
        <v>6615.4989999999998</v>
      </c>
      <c r="X348" s="2"/>
    </row>
    <row r="349" spans="1:24" s="50" customFormat="1" ht="15" customHeight="1" x14ac:dyDescent="0.25">
      <c r="A349" s="15">
        <v>45562</v>
      </c>
      <c r="B349" s="15">
        <v>45576</v>
      </c>
      <c r="C349" s="15">
        <v>45589</v>
      </c>
      <c r="D349" s="13">
        <f t="shared" si="11"/>
        <v>11427285.177000001</v>
      </c>
      <c r="E349" s="13">
        <v>1595885.3529999999</v>
      </c>
      <c r="F349" s="13">
        <v>1504753.44</v>
      </c>
      <c r="G349" s="13">
        <v>3782668.716</v>
      </c>
      <c r="H349" s="13">
        <v>2232830.4569999999</v>
      </c>
      <c r="I349" s="13">
        <v>781339.63199999998</v>
      </c>
      <c r="J349" s="13">
        <v>450200.9</v>
      </c>
      <c r="K349" s="13">
        <v>956576.72900000005</v>
      </c>
      <c r="L349" s="13">
        <v>98100.038</v>
      </c>
      <c r="M349" s="13">
        <v>8597.9130000000005</v>
      </c>
      <c r="N349" s="13">
        <v>5391.9840000000004</v>
      </c>
      <c r="O349" s="13">
        <v>2090</v>
      </c>
      <c r="P349" s="13">
        <v>2234.5160000000001</v>
      </c>
      <c r="Q349" s="13">
        <v>6615.4989999999998</v>
      </c>
      <c r="X349" s="2"/>
    </row>
    <row r="350" spans="1:24" s="50" customFormat="1" ht="15" customHeight="1" x14ac:dyDescent="0.25">
      <c r="A350" s="15">
        <v>45576</v>
      </c>
      <c r="B350" s="15">
        <v>45590</v>
      </c>
      <c r="C350" s="15">
        <v>45603</v>
      </c>
      <c r="D350" s="13">
        <f t="shared" si="11"/>
        <v>11279345.006000001</v>
      </c>
      <c r="E350" s="13">
        <v>1492246.1810000001</v>
      </c>
      <c r="F350" s="13">
        <v>1420600.662</v>
      </c>
      <c r="G350" s="13">
        <v>3978053.35</v>
      </c>
      <c r="H350" s="13">
        <v>2123530.7790000001</v>
      </c>
      <c r="I350" s="13">
        <v>753019.89099999995</v>
      </c>
      <c r="J350" s="13">
        <v>441574.37900000002</v>
      </c>
      <c r="K350" s="13">
        <v>945679.66200000001</v>
      </c>
      <c r="L350" s="13">
        <v>99500.455000000002</v>
      </c>
      <c r="M350" s="13">
        <v>8583.6229999999996</v>
      </c>
      <c r="N350" s="13">
        <v>5837.9930000000004</v>
      </c>
      <c r="O350" s="13">
        <v>2090</v>
      </c>
      <c r="P350" s="13">
        <v>1918.8630000000001</v>
      </c>
      <c r="Q350" s="13">
        <v>6709.1679999999997</v>
      </c>
      <c r="X350" s="2"/>
    </row>
    <row r="351" spans="1:24" s="50" customFormat="1" ht="15" customHeight="1" x14ac:dyDescent="0.25">
      <c r="A351" s="15">
        <v>45590</v>
      </c>
      <c r="B351" s="15">
        <v>45604</v>
      </c>
      <c r="C351" s="15">
        <v>45617</v>
      </c>
      <c r="D351" s="13">
        <f t="shared" si="11"/>
        <v>11667504.158999998</v>
      </c>
      <c r="E351" s="13">
        <v>1560257.3149999999</v>
      </c>
      <c r="F351" s="13">
        <v>1515699.882</v>
      </c>
      <c r="G351" s="13">
        <v>4274900.7149999999</v>
      </c>
      <c r="H351" s="13">
        <v>2103002.804</v>
      </c>
      <c r="I351" s="13">
        <v>663650.28</v>
      </c>
      <c r="J351" s="13">
        <v>420687.29200000002</v>
      </c>
      <c r="K351" s="13">
        <v>1002818.447</v>
      </c>
      <c r="L351" s="13">
        <v>101158.966</v>
      </c>
      <c r="M351" s="13">
        <v>8591.9830000000002</v>
      </c>
      <c r="N351" s="13">
        <v>5832.0640000000003</v>
      </c>
      <c r="O351" s="13">
        <v>2090</v>
      </c>
      <c r="P351" s="13">
        <v>2105.2429999999999</v>
      </c>
      <c r="Q351" s="13">
        <v>6709.1679999999997</v>
      </c>
      <c r="X351" s="2"/>
    </row>
    <row r="352" spans="1:24" s="50" customFormat="1" ht="15" customHeight="1" x14ac:dyDescent="0.25">
      <c r="A352" s="15">
        <v>45604</v>
      </c>
      <c r="B352" s="15">
        <v>45618</v>
      </c>
      <c r="C352" s="15">
        <v>45631</v>
      </c>
      <c r="D352" s="13">
        <f t="shared" si="11"/>
        <v>11690111.704</v>
      </c>
      <c r="E352" s="13">
        <v>1533540.1910000001</v>
      </c>
      <c r="F352" s="13">
        <v>1505298.4280000001</v>
      </c>
      <c r="G352" s="13">
        <v>4525801.2680000002</v>
      </c>
      <c r="H352" s="13">
        <v>2039636.7209999999</v>
      </c>
      <c r="I352" s="13">
        <v>550269.505</v>
      </c>
      <c r="J352" s="13">
        <v>395123.54599999997</v>
      </c>
      <c r="K352" s="13">
        <v>1011866.314</v>
      </c>
      <c r="L352" s="13">
        <v>102789.57799999999</v>
      </c>
      <c r="M352" s="13">
        <v>9123.1759999999995</v>
      </c>
      <c r="N352" s="13">
        <v>5837.3869999999997</v>
      </c>
      <c r="O352" s="13">
        <v>2090</v>
      </c>
      <c r="P352" s="13">
        <v>2018.2449999999999</v>
      </c>
      <c r="Q352" s="13">
        <v>6717.3450000000003</v>
      </c>
      <c r="X352" s="2"/>
    </row>
    <row r="353" spans="1:24" s="50" customFormat="1" ht="15" customHeight="1" x14ac:dyDescent="0.25">
      <c r="A353" s="15">
        <v>45618</v>
      </c>
      <c r="B353" s="15">
        <v>45632</v>
      </c>
      <c r="C353" s="15">
        <v>45645</v>
      </c>
      <c r="D353" s="13">
        <f t="shared" si="11"/>
        <v>11917848.846000001</v>
      </c>
      <c r="E353" s="13">
        <v>1560122.7490000001</v>
      </c>
      <c r="F353" s="13">
        <v>1597156.952</v>
      </c>
      <c r="G353" s="13">
        <v>4732764.72</v>
      </c>
      <c r="H353" s="13">
        <v>2039441.963</v>
      </c>
      <c r="I353" s="13">
        <v>443881.799</v>
      </c>
      <c r="J353" s="13">
        <v>377441.935</v>
      </c>
      <c r="K353" s="13">
        <v>1038741.062</v>
      </c>
      <c r="L353" s="13">
        <v>102632.86</v>
      </c>
      <c r="M353" s="13">
        <v>9391.8940000000002</v>
      </c>
      <c r="N353" s="13">
        <v>5836.5829999999996</v>
      </c>
      <c r="O353" s="13">
        <v>2090</v>
      </c>
      <c r="P353" s="13">
        <v>1628.9839999999999</v>
      </c>
      <c r="Q353" s="13">
        <v>6717.3450000000003</v>
      </c>
      <c r="X353" s="2"/>
    </row>
    <row r="354" spans="1:24" s="50" customFormat="1" ht="15" customHeight="1" x14ac:dyDescent="0.25">
      <c r="A354" s="15">
        <v>45632</v>
      </c>
      <c r="B354" s="15">
        <v>45646</v>
      </c>
      <c r="C354" s="15">
        <v>45659</v>
      </c>
      <c r="D354" s="13">
        <f t="shared" si="11"/>
        <v>12021995.118000003</v>
      </c>
      <c r="E354" s="13">
        <v>1565203.5730000001</v>
      </c>
      <c r="F354" s="13">
        <v>1552293.6459999999</v>
      </c>
      <c r="G354" s="13">
        <v>4888721.7640000004</v>
      </c>
      <c r="H354" s="13">
        <v>2038346.2479999999</v>
      </c>
      <c r="I354" s="13">
        <v>400362.86700000003</v>
      </c>
      <c r="J354" s="13">
        <v>360557.451</v>
      </c>
      <c r="K354" s="13">
        <v>1086784.4450000001</v>
      </c>
      <c r="L354" s="13">
        <v>102016.466</v>
      </c>
      <c r="M354" s="13">
        <v>10257.637000000001</v>
      </c>
      <c r="N354" s="13">
        <v>5831.8450000000003</v>
      </c>
      <c r="O354" s="13">
        <v>2899.0880000000002</v>
      </c>
      <c r="P354" s="13">
        <v>1782.7670000000001</v>
      </c>
      <c r="Q354" s="13">
        <v>6937.3209999999999</v>
      </c>
      <c r="X354" s="2"/>
    </row>
    <row r="355" spans="1:24" s="50" customFormat="1" ht="15" customHeight="1" x14ac:dyDescent="0.25">
      <c r="A355" s="15">
        <v>45646</v>
      </c>
      <c r="B355" s="15">
        <v>45660</v>
      </c>
      <c r="C355" s="15">
        <v>45673</v>
      </c>
      <c r="D355" s="13">
        <f t="shared" si="11"/>
        <v>12386137.350000001</v>
      </c>
      <c r="E355" s="13">
        <v>1633355.53</v>
      </c>
      <c r="F355" s="13">
        <v>1833541.615</v>
      </c>
      <c r="G355" s="13">
        <v>4898068.6409999998</v>
      </c>
      <c r="H355" s="13">
        <v>2102945.2799999998</v>
      </c>
      <c r="I355" s="13">
        <v>374973.56</v>
      </c>
      <c r="J355" s="13">
        <v>348438.33399999997</v>
      </c>
      <c r="K355" s="13">
        <v>1061070.469</v>
      </c>
      <c r="L355" s="13">
        <v>105276.23299999999</v>
      </c>
      <c r="M355" s="13">
        <v>10223.232</v>
      </c>
      <c r="N355" s="13">
        <v>5831.8450000000003</v>
      </c>
      <c r="O355" s="13">
        <v>3099.0880000000002</v>
      </c>
      <c r="P355" s="13">
        <v>2376.2020000000002</v>
      </c>
      <c r="Q355" s="13">
        <v>6937.3209999999999</v>
      </c>
      <c r="X355" s="2"/>
    </row>
    <row r="356" spans="1:24" s="50" customFormat="1" ht="15" customHeight="1" x14ac:dyDescent="0.25">
      <c r="A356" s="15">
        <v>45660</v>
      </c>
      <c r="B356" s="15">
        <v>45674</v>
      </c>
      <c r="C356" s="15">
        <v>45687</v>
      </c>
      <c r="D356" s="13">
        <f t="shared" si="11"/>
        <v>12569367.773000002</v>
      </c>
      <c r="E356" s="13">
        <v>1592575.477</v>
      </c>
      <c r="F356" s="13">
        <v>1877636.483</v>
      </c>
      <c r="G356" s="13">
        <v>5011843.2939999998</v>
      </c>
      <c r="H356" s="13">
        <v>2146544.83</v>
      </c>
      <c r="I356" s="13">
        <v>354407.66499999998</v>
      </c>
      <c r="J356" s="13">
        <v>342135.17599999998</v>
      </c>
      <c r="K356" s="13">
        <v>1110649.1200000001</v>
      </c>
      <c r="L356" s="13">
        <v>105195.68</v>
      </c>
      <c r="M356" s="13">
        <v>10196.09</v>
      </c>
      <c r="N356" s="13">
        <v>5823.4080000000004</v>
      </c>
      <c r="O356" s="13">
        <v>3099.0880000000002</v>
      </c>
      <c r="P356" s="13">
        <v>2324.1410000000001</v>
      </c>
      <c r="Q356" s="13">
        <v>6937.3209999999999</v>
      </c>
      <c r="X356" s="2"/>
    </row>
    <row r="357" spans="1:24" s="50" customFormat="1" ht="15" customHeight="1" x14ac:dyDescent="0.25">
      <c r="A357" s="15">
        <v>45674</v>
      </c>
      <c r="B357" s="15">
        <v>45688</v>
      </c>
      <c r="C357" s="15">
        <v>45701</v>
      </c>
      <c r="D357" s="13">
        <f t="shared" si="11"/>
        <v>12841169.041999999</v>
      </c>
      <c r="E357" s="13">
        <v>1655265.879</v>
      </c>
      <c r="F357" s="13">
        <v>1907130.196</v>
      </c>
      <c r="G357" s="13">
        <v>5054087.807</v>
      </c>
      <c r="H357" s="13">
        <v>2213970.1329999999</v>
      </c>
      <c r="I357" s="13">
        <v>326867.98200000002</v>
      </c>
      <c r="J357" s="13">
        <v>330801.875</v>
      </c>
      <c r="K357" s="13">
        <v>1218837.831</v>
      </c>
      <c r="L357" s="13">
        <v>105401.73</v>
      </c>
      <c r="M357" s="13">
        <v>10477.212</v>
      </c>
      <c r="N357" s="13">
        <v>5821.49</v>
      </c>
      <c r="O357" s="13">
        <v>3099.0880000000002</v>
      </c>
      <c r="P357" s="13">
        <v>2470.498</v>
      </c>
      <c r="Q357" s="13">
        <v>6937.3209999999999</v>
      </c>
      <c r="X357" s="2"/>
    </row>
    <row r="358" spans="1:24" s="50" customFormat="1" ht="15" customHeight="1" x14ac:dyDescent="0.25">
      <c r="A358" s="15">
        <v>45688</v>
      </c>
      <c r="B358" s="15">
        <v>45702</v>
      </c>
      <c r="C358" s="15">
        <v>45715</v>
      </c>
      <c r="D358" s="13">
        <f t="shared" si="11"/>
        <v>12751135.625</v>
      </c>
      <c r="E358" s="13">
        <v>1635649.433</v>
      </c>
      <c r="F358" s="13">
        <v>1783706.4779999999</v>
      </c>
      <c r="G358" s="13">
        <v>4987120.5590000004</v>
      </c>
      <c r="H358" s="13">
        <v>2262472.3840000001</v>
      </c>
      <c r="I358" s="13">
        <v>344744.43400000001</v>
      </c>
      <c r="J358" s="13">
        <v>318200.92800000001</v>
      </c>
      <c r="K358" s="13">
        <v>1283633.567</v>
      </c>
      <c r="L358" s="13">
        <v>105939.53599999999</v>
      </c>
      <c r="M358" s="13">
        <v>10425.446</v>
      </c>
      <c r="N358" s="13">
        <v>5811.4120000000003</v>
      </c>
      <c r="O358" s="13">
        <v>3099.0880000000002</v>
      </c>
      <c r="P358" s="13">
        <v>2381.502</v>
      </c>
      <c r="Q358" s="13">
        <v>7950.8580000000002</v>
      </c>
      <c r="X358" s="2"/>
    </row>
    <row r="359" spans="1:24" s="50" customFormat="1" ht="15" customHeight="1" x14ac:dyDescent="0.25">
      <c r="A359" s="15">
        <v>45702</v>
      </c>
      <c r="B359" s="15">
        <v>45716</v>
      </c>
      <c r="C359" s="15">
        <v>45729</v>
      </c>
      <c r="D359" s="13">
        <f t="shared" si="11"/>
        <v>13103496.819399999</v>
      </c>
      <c r="E359" s="13">
        <v>1682065.24</v>
      </c>
      <c r="F359" s="13">
        <v>1941115.189</v>
      </c>
      <c r="G359" s="13">
        <v>5060706.6789999995</v>
      </c>
      <c r="H359" s="13">
        <v>2239882.199</v>
      </c>
      <c r="I359" s="13">
        <v>357531.89600000001</v>
      </c>
      <c r="J359" s="13">
        <v>302434.97399999999</v>
      </c>
      <c r="K359" s="13">
        <v>1384011.5904000001</v>
      </c>
      <c r="L359" s="13">
        <v>105494.872</v>
      </c>
      <c r="M359" s="13">
        <v>10399.913</v>
      </c>
      <c r="N359" s="13">
        <v>5805.8549999999996</v>
      </c>
      <c r="O359" s="13">
        <v>3099.0880000000002</v>
      </c>
      <c r="P359" s="13">
        <v>2998.4659999999999</v>
      </c>
      <c r="Q359" s="13">
        <v>7950.8580000000002</v>
      </c>
      <c r="X359" s="2"/>
    </row>
    <row r="360" spans="1:24" s="50" customFormat="1" ht="15" customHeight="1" x14ac:dyDescent="0.25">
      <c r="A360" s="15">
        <v>45716</v>
      </c>
      <c r="B360" s="15">
        <v>45730</v>
      </c>
      <c r="C360" s="15">
        <v>45743</v>
      </c>
      <c r="D360" s="13">
        <f t="shared" si="11"/>
        <v>12947953.442999998</v>
      </c>
      <c r="E360" s="13">
        <v>1753314.321</v>
      </c>
      <c r="F360" s="13">
        <v>1897186.048</v>
      </c>
      <c r="G360" s="13">
        <v>5130167.8030000003</v>
      </c>
      <c r="H360" s="13">
        <v>2191279.9190000002</v>
      </c>
      <c r="I360" s="13">
        <v>359294.55800000002</v>
      </c>
      <c r="J360" s="13">
        <v>279290.67599999998</v>
      </c>
      <c r="K360" s="13">
        <v>1202802.0729999999</v>
      </c>
      <c r="L360" s="13">
        <v>104054.05</v>
      </c>
      <c r="M360" s="13">
        <v>10354.507</v>
      </c>
      <c r="N360" s="13">
        <v>5804.01</v>
      </c>
      <c r="O360" s="13">
        <v>3099.0880000000002</v>
      </c>
      <c r="P360" s="13">
        <v>3339.6840000000002</v>
      </c>
      <c r="Q360" s="13">
        <v>7966.7060000000001</v>
      </c>
      <c r="X360" s="2"/>
    </row>
    <row r="361" spans="1:24" s="50" customFormat="1" ht="15" customHeight="1" x14ac:dyDescent="0.25">
      <c r="A361" s="15">
        <v>45730</v>
      </c>
      <c r="B361" s="15">
        <v>45744</v>
      </c>
      <c r="C361" s="15">
        <v>45757</v>
      </c>
      <c r="D361" s="13">
        <f t="shared" si="11"/>
        <v>13331089.649999999</v>
      </c>
      <c r="E361" s="13">
        <v>1770011.152</v>
      </c>
      <c r="F361" s="13">
        <v>2082246.892</v>
      </c>
      <c r="G361" s="13">
        <v>5206953.4029999999</v>
      </c>
      <c r="H361" s="13">
        <v>2209987.821</v>
      </c>
      <c r="I361" s="13">
        <v>371553.80800000002</v>
      </c>
      <c r="J361" s="13">
        <v>270372.05800000002</v>
      </c>
      <c r="K361" s="13">
        <v>1287185.0090000001</v>
      </c>
      <c r="L361" s="13">
        <v>102747.497</v>
      </c>
      <c r="M361" s="13">
        <v>10192.188</v>
      </c>
      <c r="N361" s="13">
        <v>5799.3710000000001</v>
      </c>
      <c r="O361" s="13">
        <v>3099.0880000000002</v>
      </c>
      <c r="P361" s="13">
        <v>2974.6570000000002</v>
      </c>
      <c r="Q361" s="13">
        <v>7966.7060000000001</v>
      </c>
      <c r="X361" s="2"/>
    </row>
    <row r="362" spans="1:24" s="50" customFormat="1" ht="15" customHeight="1" x14ac:dyDescent="0.25">
      <c r="A362" s="15">
        <v>45744</v>
      </c>
      <c r="B362" s="15">
        <v>45758</v>
      </c>
      <c r="C362" s="15">
        <v>45771</v>
      </c>
      <c r="D362" s="13">
        <f t="shared" si="11"/>
        <v>13700977.157000003</v>
      </c>
      <c r="E362" s="13">
        <v>2035137.9639999999</v>
      </c>
      <c r="F362" s="13">
        <v>2213132.4339999999</v>
      </c>
      <c r="G362" s="13">
        <v>5285184.733</v>
      </c>
      <c r="H362" s="13">
        <v>2110697.5610000002</v>
      </c>
      <c r="I362" s="13">
        <v>375008.88900000002</v>
      </c>
      <c r="J362" s="13">
        <v>254174.33499999999</v>
      </c>
      <c r="K362" s="13">
        <v>1291616.1370000001</v>
      </c>
      <c r="L362" s="13">
        <v>107326.98</v>
      </c>
      <c r="M362" s="13">
        <v>9714.1550000000007</v>
      </c>
      <c r="N362" s="13">
        <v>5859.3990000000003</v>
      </c>
      <c r="O362" s="13">
        <v>3099.0880000000002</v>
      </c>
      <c r="P362" s="13">
        <v>3651.3560000000002</v>
      </c>
      <c r="Q362" s="13">
        <v>6374.1260000000002</v>
      </c>
      <c r="X362" s="2"/>
    </row>
    <row r="363" spans="1:24" s="50" customFormat="1" ht="15" customHeight="1" x14ac:dyDescent="0.25">
      <c r="A363" s="17">
        <v>45758</v>
      </c>
      <c r="B363" s="17">
        <v>45772</v>
      </c>
      <c r="C363" s="17">
        <v>45785</v>
      </c>
      <c r="D363" s="18">
        <f t="shared" si="11"/>
        <v>13156716.205999998</v>
      </c>
      <c r="E363" s="18">
        <v>1818198.8489999999</v>
      </c>
      <c r="F363" s="63">
        <v>2100625.7089999998</v>
      </c>
      <c r="G363" s="63">
        <v>5436306.0899999999</v>
      </c>
      <c r="H363" s="63">
        <v>1997614.1429999999</v>
      </c>
      <c r="I363" s="63">
        <v>355877.65399999998</v>
      </c>
      <c r="J363" s="63">
        <v>241912.99799999999</v>
      </c>
      <c r="K363" s="18">
        <v>1071439.402</v>
      </c>
      <c r="L363" s="18">
        <v>105794.262</v>
      </c>
      <c r="M363" s="18">
        <v>9908.2070000000003</v>
      </c>
      <c r="N363" s="18">
        <v>5915.9830000000002</v>
      </c>
      <c r="O363" s="18">
        <v>3099.0859999999998</v>
      </c>
      <c r="P363" s="18">
        <v>3649.6970000000001</v>
      </c>
      <c r="Q363" s="18">
        <v>6374.1260000000002</v>
      </c>
      <c r="X363" s="2"/>
    </row>
    <row r="364" spans="1:24" s="50" customFormat="1" ht="17.25" customHeight="1" x14ac:dyDescent="0.25">
      <c r="C364" s="48"/>
    </row>
    <row r="365" spans="1:24" ht="15" customHeight="1" x14ac:dyDescent="0.25">
      <c r="A365" s="56" t="s">
        <v>20</v>
      </c>
      <c r="B365" s="83" t="s">
        <v>25</v>
      </c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U365" s="4"/>
      <c r="X365" s="2"/>
    </row>
    <row r="366" spans="1:24" ht="15" customHeight="1" x14ac:dyDescent="0.25">
      <c r="A366" s="39"/>
      <c r="B366" s="83" t="s">
        <v>26</v>
      </c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47"/>
      <c r="W366" s="2"/>
    </row>
    <row r="367" spans="1:24" ht="15" customHeight="1" x14ac:dyDescent="0.25">
      <c r="A367" s="39"/>
      <c r="B367" s="83" t="s">
        <v>27</v>
      </c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47"/>
      <c r="W367" s="2"/>
    </row>
    <row r="368" spans="1:24" ht="15" customHeight="1" x14ac:dyDescent="0.25">
      <c r="A368" s="39"/>
      <c r="B368" s="84" t="s">
        <v>30</v>
      </c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39"/>
      <c r="W368" s="2"/>
    </row>
    <row r="369" spans="1:23" ht="15" customHeight="1" x14ac:dyDescent="0.25">
      <c r="A369" s="39"/>
      <c r="B369" s="85" t="s">
        <v>38</v>
      </c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W369" s="2"/>
    </row>
    <row r="370" spans="1:23" ht="15" customHeight="1" x14ac:dyDescent="0.25">
      <c r="A370" s="39"/>
      <c r="B370" s="77" t="s">
        <v>39</v>
      </c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50"/>
      <c r="S370" s="21"/>
    </row>
    <row r="371" spans="1:23" ht="15" customHeight="1" x14ac:dyDescent="0.25">
      <c r="A371" s="39"/>
      <c r="B371" s="83" t="s">
        <v>48</v>
      </c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S371" s="21"/>
    </row>
    <row r="372" spans="1:23" ht="15" customHeight="1" x14ac:dyDescent="0.25">
      <c r="A372" s="39"/>
      <c r="B372" s="83" t="s">
        <v>50</v>
      </c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</row>
    <row r="373" spans="1:23" ht="15" customHeight="1" x14ac:dyDescent="0.25">
      <c r="A373" s="39"/>
      <c r="B373" s="83" t="s">
        <v>51</v>
      </c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21"/>
    </row>
    <row r="374" spans="1:23" x14ac:dyDescent="0.25">
      <c r="D37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21"/>
    </row>
    <row r="375" spans="1:23" x14ac:dyDescent="0.25">
      <c r="D375" s="2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21"/>
    </row>
    <row r="376" spans="1:23" x14ac:dyDescent="0.25">
      <c r="D376" s="21"/>
      <c r="G376" s="4"/>
      <c r="H376" s="21"/>
      <c r="I376" s="4"/>
      <c r="J376" s="21"/>
      <c r="K376" s="21"/>
      <c r="L376" s="21"/>
      <c r="M376" s="21"/>
      <c r="N376" s="21"/>
      <c r="O376" s="21"/>
      <c r="P376" s="21"/>
      <c r="Q376" s="21"/>
    </row>
    <row r="377" spans="1:23" x14ac:dyDescent="0.25">
      <c r="C377" s="48"/>
    </row>
    <row r="379" spans="1:23" x14ac:dyDescent="0.25">
      <c r="F379" s="50"/>
      <c r="G379" s="50"/>
      <c r="H379" s="50"/>
      <c r="I379" s="50"/>
      <c r="J379" s="50"/>
      <c r="K379" s="4"/>
      <c r="N379" s="21"/>
    </row>
    <row r="1048209" spans="2:5" x14ac:dyDescent="0.25">
      <c r="B1048209" s="76"/>
      <c r="C1048209" s="76"/>
      <c r="D1048209" s="76"/>
      <c r="E1048209" s="76"/>
    </row>
  </sheetData>
  <mergeCells count="10">
    <mergeCell ref="A1:O1"/>
    <mergeCell ref="B1048209:E1048209"/>
    <mergeCell ref="B365:Q365"/>
    <mergeCell ref="B366:Q366"/>
    <mergeCell ref="B367:Q367"/>
    <mergeCell ref="B369:Q369"/>
    <mergeCell ref="B370:Q370"/>
    <mergeCell ref="B371:Q371"/>
    <mergeCell ref="B372:Q372"/>
    <mergeCell ref="B373:Q373"/>
  </mergeCells>
  <printOptions horizontalCentered="1" verticalCentered="1"/>
  <pageMargins left="0.70866141732283461" right="0.70866141732283461" top="0.15748031496062992" bottom="0.15748031496062992" header="0.31496062992125984" footer="0.31496062992125984"/>
  <pageSetup paperSize="9" scale="35" fitToHeight="3" orientation="portrait" r:id="rId1"/>
  <rowBreaks count="2" manualBreakCount="2">
    <brk id="144" max="16" man="1"/>
    <brk id="280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Z456"/>
  <sheetViews>
    <sheetView showGridLines="0" topLeftCell="A348" zoomScaleNormal="100" zoomScaleSheetLayoutView="100" workbookViewId="0">
      <selection activeCell="B372" sqref="B372:Q372"/>
    </sheetView>
  </sheetViews>
  <sheetFormatPr defaultColWidth="9.140625" defaultRowHeight="15" x14ac:dyDescent="0.25"/>
  <cols>
    <col min="1" max="1" width="14.85546875" style="1" bestFit="1" customWidth="1"/>
    <col min="2" max="3" width="13.85546875" style="1" customWidth="1"/>
    <col min="4" max="4" width="16.42578125" style="1" bestFit="1" customWidth="1"/>
    <col min="5" max="5" width="16.140625" style="1" bestFit="1" customWidth="1"/>
    <col min="6" max="6" width="15" style="1" customWidth="1"/>
    <col min="7" max="7" width="17.85546875" style="1" bestFit="1" customWidth="1"/>
    <col min="8" max="8" width="16.140625" style="1" customWidth="1"/>
    <col min="9" max="14" width="14.5703125" style="1" bestFit="1" customWidth="1"/>
    <col min="15" max="15" width="13.5703125" style="1" bestFit="1" customWidth="1"/>
    <col min="16" max="16" width="15.42578125" style="1" customWidth="1"/>
    <col min="17" max="17" width="13.5703125" style="1" bestFit="1" customWidth="1"/>
    <col min="18" max="18" width="9.140625" style="1"/>
    <col min="19" max="19" width="10" style="1" bestFit="1" customWidth="1"/>
    <col min="20" max="20" width="9.140625" style="1"/>
    <col min="21" max="21" width="12.85546875" style="1" customWidth="1"/>
    <col min="22" max="22" width="9.140625" style="1"/>
    <col min="23" max="23" width="13.85546875" style="1" customWidth="1"/>
    <col min="24" max="24" width="13.140625" style="1" customWidth="1"/>
    <col min="25" max="25" width="12.42578125" style="1" customWidth="1"/>
    <col min="26" max="16384" width="9.140625" style="1"/>
  </cols>
  <sheetData>
    <row r="1" spans="1:15" x14ac:dyDescent="0.25">
      <c r="A1" s="78" t="s">
        <v>55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5" s="2" customFormat="1" ht="75.75" customHeight="1" x14ac:dyDescent="0.25">
      <c r="A2" s="27" t="s">
        <v>9</v>
      </c>
      <c r="B2" s="28" t="s">
        <v>40</v>
      </c>
      <c r="C2" s="28" t="s">
        <v>41</v>
      </c>
      <c r="D2" s="28" t="s">
        <v>6</v>
      </c>
      <c r="E2" s="28" t="s">
        <v>16</v>
      </c>
      <c r="F2" s="28" t="s">
        <v>2</v>
      </c>
      <c r="G2" s="28" t="s">
        <v>3</v>
      </c>
      <c r="H2" s="28" t="s">
        <v>4</v>
      </c>
      <c r="I2" s="28" t="s">
        <v>1</v>
      </c>
      <c r="J2" s="28" t="s">
        <v>5</v>
      </c>
      <c r="K2" s="28" t="s">
        <v>7</v>
      </c>
      <c r="L2" s="28" t="s">
        <v>8</v>
      </c>
      <c r="M2" s="29" t="s">
        <v>15</v>
      </c>
      <c r="N2" s="4"/>
      <c r="O2" s="4"/>
    </row>
    <row r="3" spans="1:15" x14ac:dyDescent="0.25">
      <c r="A3" s="30">
        <v>40802</v>
      </c>
      <c r="B3" s="15">
        <v>40816</v>
      </c>
      <c r="C3" s="15">
        <v>40829</v>
      </c>
      <c r="D3" s="12">
        <f t="shared" ref="D3:D66" si="0">SUM(E3:P3)</f>
        <v>324199.99</v>
      </c>
      <c r="E3" s="12">
        <v>36409.796000000002</v>
      </c>
      <c r="F3" s="12">
        <v>41294.269</v>
      </c>
      <c r="G3" s="12">
        <v>95783.475000000006</v>
      </c>
      <c r="H3" s="12">
        <v>14356.369000000001</v>
      </c>
      <c r="I3" s="12">
        <v>5489.1930000000002</v>
      </c>
      <c r="J3" s="12">
        <v>18738.225999999999</v>
      </c>
      <c r="K3" s="12">
        <v>64039.154999999999</v>
      </c>
      <c r="L3" s="12">
        <v>12049.312</v>
      </c>
      <c r="M3" s="12">
        <v>36040.195</v>
      </c>
      <c r="N3" s="4"/>
      <c r="O3" s="4"/>
    </row>
    <row r="4" spans="1:15" x14ac:dyDescent="0.25">
      <c r="A4" s="15">
        <v>40816</v>
      </c>
      <c r="B4" s="15">
        <v>40830</v>
      </c>
      <c r="C4" s="15">
        <v>40843</v>
      </c>
      <c r="D4" s="13">
        <f t="shared" si="0"/>
        <v>332706.163</v>
      </c>
      <c r="E4" s="13">
        <v>37269.057000000001</v>
      </c>
      <c r="F4" s="13">
        <v>39105.042999999998</v>
      </c>
      <c r="G4" s="13">
        <v>99615.217999999993</v>
      </c>
      <c r="H4" s="13">
        <v>14151.407999999999</v>
      </c>
      <c r="I4" s="13">
        <v>5693.34</v>
      </c>
      <c r="J4" s="13">
        <v>19615.767</v>
      </c>
      <c r="K4" s="13">
        <v>67465.423999999999</v>
      </c>
      <c r="L4" s="13">
        <v>12282.651</v>
      </c>
      <c r="M4" s="13">
        <v>37508.254999999997</v>
      </c>
      <c r="N4" s="4"/>
      <c r="O4" s="4"/>
    </row>
    <row r="5" spans="1:15" x14ac:dyDescent="0.25">
      <c r="A5" s="15">
        <v>40830</v>
      </c>
      <c r="B5" s="15">
        <v>40844</v>
      </c>
      <c r="C5" s="15">
        <v>40857</v>
      </c>
      <c r="D5" s="13">
        <f t="shared" si="0"/>
        <v>348276.28</v>
      </c>
      <c r="E5" s="13">
        <v>49902.044999999998</v>
      </c>
      <c r="F5" s="13">
        <v>40396.508999999998</v>
      </c>
      <c r="G5" s="13">
        <v>102615.58</v>
      </c>
      <c r="H5" s="13">
        <v>14203.79</v>
      </c>
      <c r="I5" s="13">
        <v>5509.3969999999999</v>
      </c>
      <c r="J5" s="13">
        <v>19725.2</v>
      </c>
      <c r="K5" s="13">
        <v>63982.646000000001</v>
      </c>
      <c r="L5" s="13">
        <v>14123.682000000001</v>
      </c>
      <c r="M5" s="13">
        <v>37817.430999999997</v>
      </c>
      <c r="N5" s="4"/>
      <c r="O5" s="4"/>
    </row>
    <row r="6" spans="1:15" x14ac:dyDescent="0.25">
      <c r="A6" s="15">
        <v>40844</v>
      </c>
      <c r="B6" s="15">
        <v>40858</v>
      </c>
      <c r="C6" s="15">
        <v>40871</v>
      </c>
      <c r="D6" s="13">
        <f t="shared" si="0"/>
        <v>341643.06299999997</v>
      </c>
      <c r="E6" s="13">
        <v>50073.360999999997</v>
      </c>
      <c r="F6" s="13">
        <v>41376.14</v>
      </c>
      <c r="G6" s="13">
        <v>100227.056</v>
      </c>
      <c r="H6" s="13">
        <v>13725.366</v>
      </c>
      <c r="I6" s="13">
        <v>5351.3829999999998</v>
      </c>
      <c r="J6" s="13">
        <v>17630.742999999999</v>
      </c>
      <c r="K6" s="13">
        <v>63993.688000000002</v>
      </c>
      <c r="L6" s="13">
        <v>13211.841</v>
      </c>
      <c r="M6" s="13">
        <v>36053.485000000001</v>
      </c>
      <c r="N6" s="4"/>
      <c r="O6" s="4"/>
    </row>
    <row r="7" spans="1:15" x14ac:dyDescent="0.25">
      <c r="A7" s="15">
        <v>40858</v>
      </c>
      <c r="B7" s="15">
        <v>40872</v>
      </c>
      <c r="C7" s="15">
        <v>40885</v>
      </c>
      <c r="D7" s="13">
        <f t="shared" si="0"/>
        <v>351150.42399999994</v>
      </c>
      <c r="E7" s="13">
        <v>49649.366999999998</v>
      </c>
      <c r="F7" s="13">
        <v>42093.036</v>
      </c>
      <c r="G7" s="13">
        <v>103261.14599999999</v>
      </c>
      <c r="H7" s="13">
        <v>13580.723</v>
      </c>
      <c r="I7" s="13">
        <v>5255.49</v>
      </c>
      <c r="J7" s="13">
        <v>17564.175999999999</v>
      </c>
      <c r="K7" s="13">
        <v>68834.466</v>
      </c>
      <c r="L7" s="13">
        <v>13427.111000000001</v>
      </c>
      <c r="M7" s="13">
        <v>37484.909</v>
      </c>
      <c r="N7" s="4"/>
      <c r="O7" s="4"/>
    </row>
    <row r="8" spans="1:15" x14ac:dyDescent="0.25">
      <c r="A8" s="15">
        <v>40872</v>
      </c>
      <c r="B8" s="15">
        <v>40886</v>
      </c>
      <c r="C8" s="15">
        <v>40899</v>
      </c>
      <c r="D8" s="13">
        <f t="shared" si="0"/>
        <v>359948.20499999996</v>
      </c>
      <c r="E8" s="13">
        <v>48529.292000000001</v>
      </c>
      <c r="F8" s="13">
        <v>39887.499000000003</v>
      </c>
      <c r="G8" s="13">
        <v>108750.505</v>
      </c>
      <c r="H8" s="13">
        <v>14288.066000000001</v>
      </c>
      <c r="I8" s="13">
        <v>5472.6270000000004</v>
      </c>
      <c r="J8" s="13">
        <v>18177.044000000002</v>
      </c>
      <c r="K8" s="13">
        <v>72553.48</v>
      </c>
      <c r="L8" s="13">
        <v>13613.326999999999</v>
      </c>
      <c r="M8" s="13">
        <v>38676.364999999998</v>
      </c>
      <c r="N8" s="4"/>
      <c r="O8" s="4"/>
    </row>
    <row r="9" spans="1:15" x14ac:dyDescent="0.25">
      <c r="A9" s="15">
        <v>40886</v>
      </c>
      <c r="B9" s="15">
        <v>40900</v>
      </c>
      <c r="C9" s="15">
        <v>40913</v>
      </c>
      <c r="D9" s="13">
        <f t="shared" si="0"/>
        <v>351713.45599999995</v>
      </c>
      <c r="E9" s="13">
        <v>48681.692000000003</v>
      </c>
      <c r="F9" s="13">
        <v>43924.642</v>
      </c>
      <c r="G9" s="13">
        <v>103856.2</v>
      </c>
      <c r="H9" s="13">
        <v>14026.117</v>
      </c>
      <c r="I9" s="13">
        <v>5302.2579999999998</v>
      </c>
      <c r="J9" s="13">
        <v>17891.914000000001</v>
      </c>
      <c r="K9" s="13">
        <v>65600.835999999996</v>
      </c>
      <c r="L9" s="13">
        <v>14083.224</v>
      </c>
      <c r="M9" s="13">
        <v>38346.572999999997</v>
      </c>
      <c r="N9" s="4"/>
      <c r="O9" s="4"/>
    </row>
    <row r="10" spans="1:15" x14ac:dyDescent="0.25">
      <c r="A10" s="15">
        <v>40900</v>
      </c>
      <c r="B10" s="15">
        <v>40914</v>
      </c>
      <c r="C10" s="15">
        <v>40927</v>
      </c>
      <c r="D10" s="13">
        <f t="shared" si="0"/>
        <v>362373.90600000002</v>
      </c>
      <c r="E10" s="13">
        <v>50167.572999999997</v>
      </c>
      <c r="F10" s="13">
        <v>48282.803</v>
      </c>
      <c r="G10" s="13">
        <v>104161.48299999999</v>
      </c>
      <c r="H10" s="13">
        <v>14511.141</v>
      </c>
      <c r="I10" s="13">
        <v>5350.7640000000001</v>
      </c>
      <c r="J10" s="13">
        <v>18265.036</v>
      </c>
      <c r="K10" s="13">
        <v>67528.692999999999</v>
      </c>
      <c r="L10" s="13">
        <v>14685.903</v>
      </c>
      <c r="M10" s="13">
        <v>39420.51</v>
      </c>
      <c r="N10" s="4"/>
      <c r="O10" s="4"/>
    </row>
    <row r="11" spans="1:15" x14ac:dyDescent="0.25">
      <c r="A11" s="15">
        <v>40914</v>
      </c>
      <c r="B11" s="15">
        <v>40928</v>
      </c>
      <c r="C11" s="15">
        <v>40941</v>
      </c>
      <c r="D11" s="13">
        <f t="shared" si="0"/>
        <v>358736.53499999997</v>
      </c>
      <c r="E11" s="13">
        <v>50726.188000000002</v>
      </c>
      <c r="F11" s="13">
        <v>45254.478000000003</v>
      </c>
      <c r="G11" s="13">
        <v>105807.189</v>
      </c>
      <c r="H11" s="13">
        <v>14678.683999999999</v>
      </c>
      <c r="I11" s="13">
        <v>5201.3419999999996</v>
      </c>
      <c r="J11" s="13">
        <v>18322.817999999999</v>
      </c>
      <c r="K11" s="13">
        <v>64699.406999999999</v>
      </c>
      <c r="L11" s="13">
        <v>14431.579</v>
      </c>
      <c r="M11" s="13">
        <v>39614.85</v>
      </c>
      <c r="N11" s="4"/>
      <c r="O11" s="4"/>
    </row>
    <row r="12" spans="1:15" x14ac:dyDescent="0.25">
      <c r="A12" s="15">
        <v>40928</v>
      </c>
      <c r="B12" s="15">
        <v>40942</v>
      </c>
      <c r="C12" s="15">
        <v>40955</v>
      </c>
      <c r="D12" s="13">
        <f t="shared" si="0"/>
        <v>352521.29799999995</v>
      </c>
      <c r="E12" s="13">
        <v>50616.726999999999</v>
      </c>
      <c r="F12" s="13">
        <v>41782.069000000003</v>
      </c>
      <c r="G12" s="13">
        <v>106916.984</v>
      </c>
      <c r="H12" s="13">
        <v>14192.43</v>
      </c>
      <c r="I12" s="13">
        <v>5237.7190000000001</v>
      </c>
      <c r="J12" s="13">
        <v>17791.444</v>
      </c>
      <c r="K12" s="13">
        <v>63252.741999999998</v>
      </c>
      <c r="L12" s="13">
        <v>14339.555</v>
      </c>
      <c r="M12" s="13">
        <v>38391.627999999997</v>
      </c>
      <c r="N12" s="4"/>
      <c r="O12" s="4"/>
    </row>
    <row r="13" spans="1:15" x14ac:dyDescent="0.25">
      <c r="A13" s="15">
        <v>40942</v>
      </c>
      <c r="B13" s="15">
        <v>40956</v>
      </c>
      <c r="C13" s="15">
        <v>40969</v>
      </c>
      <c r="D13" s="13">
        <f t="shared" si="0"/>
        <v>347211.30400000006</v>
      </c>
      <c r="E13" s="13">
        <v>49964.781000000003</v>
      </c>
      <c r="F13" s="13">
        <v>40890.311000000002</v>
      </c>
      <c r="G13" s="13">
        <v>103827.21</v>
      </c>
      <c r="H13" s="13">
        <v>15992.894</v>
      </c>
      <c r="I13" s="13">
        <v>5560.0479999999998</v>
      </c>
      <c r="J13" s="13">
        <v>17206.112000000001</v>
      </c>
      <c r="K13" s="13">
        <v>63212.608999999997</v>
      </c>
      <c r="L13" s="13">
        <v>13451.162</v>
      </c>
      <c r="M13" s="13">
        <v>37106.177000000003</v>
      </c>
      <c r="N13" s="4"/>
      <c r="O13" s="4"/>
    </row>
    <row r="14" spans="1:15" x14ac:dyDescent="0.25">
      <c r="A14" s="15">
        <v>40956</v>
      </c>
      <c r="B14" s="15">
        <v>40970</v>
      </c>
      <c r="C14" s="15">
        <v>40983</v>
      </c>
      <c r="D14" s="13">
        <f t="shared" si="0"/>
        <v>351423.696</v>
      </c>
      <c r="E14" s="13">
        <v>50145.616000000002</v>
      </c>
      <c r="F14" s="13">
        <v>40414.266000000003</v>
      </c>
      <c r="G14" s="13">
        <v>107763.948</v>
      </c>
      <c r="H14" s="13">
        <v>15833.914000000001</v>
      </c>
      <c r="I14" s="13">
        <v>5607.5959999999995</v>
      </c>
      <c r="J14" s="13">
        <v>17513.001</v>
      </c>
      <c r="K14" s="13">
        <v>63397.752999999997</v>
      </c>
      <c r="L14" s="13">
        <v>14128.596</v>
      </c>
      <c r="M14" s="13">
        <v>36619.006000000001</v>
      </c>
      <c r="N14" s="4"/>
      <c r="O14" s="4"/>
    </row>
    <row r="15" spans="1:15" x14ac:dyDescent="0.25">
      <c r="A15" s="15">
        <v>40970</v>
      </c>
      <c r="B15" s="15">
        <v>40984</v>
      </c>
      <c r="C15" s="15">
        <v>40997</v>
      </c>
      <c r="D15" s="13">
        <f t="shared" si="0"/>
        <v>353606.96700000006</v>
      </c>
      <c r="E15" s="13">
        <v>48871.165999999997</v>
      </c>
      <c r="F15" s="13">
        <v>42315.05</v>
      </c>
      <c r="G15" s="13">
        <v>108322.82</v>
      </c>
      <c r="H15" s="13">
        <v>15344.574000000001</v>
      </c>
      <c r="I15" s="13">
        <v>5931.3760000000002</v>
      </c>
      <c r="J15" s="13">
        <v>17787.776000000002</v>
      </c>
      <c r="K15" s="13">
        <v>64756.67</v>
      </c>
      <c r="L15" s="13">
        <v>13814.987999999999</v>
      </c>
      <c r="M15" s="13">
        <v>36462.546999999999</v>
      </c>
      <c r="N15" s="4"/>
      <c r="O15" s="4"/>
    </row>
    <row r="16" spans="1:15" x14ac:dyDescent="0.25">
      <c r="A16" s="15">
        <v>40984</v>
      </c>
      <c r="B16" s="15">
        <v>40998</v>
      </c>
      <c r="C16" s="15">
        <v>41011</v>
      </c>
      <c r="D16" s="13">
        <f t="shared" si="0"/>
        <v>362837.25299999991</v>
      </c>
      <c r="E16" s="13">
        <v>50913.24</v>
      </c>
      <c r="F16" s="13">
        <v>42022.084000000003</v>
      </c>
      <c r="G16" s="13">
        <v>111563.848</v>
      </c>
      <c r="H16" s="13">
        <v>16110.779</v>
      </c>
      <c r="I16" s="13">
        <v>6163.1480000000001</v>
      </c>
      <c r="J16" s="13">
        <v>18029.614000000001</v>
      </c>
      <c r="K16" s="13">
        <v>66605.986999999994</v>
      </c>
      <c r="L16" s="13">
        <v>14190.393</v>
      </c>
      <c r="M16" s="13">
        <v>37238.160000000003</v>
      </c>
      <c r="N16" s="4"/>
      <c r="O16" s="4"/>
    </row>
    <row r="17" spans="1:15" x14ac:dyDescent="0.25">
      <c r="A17" s="15">
        <v>40998</v>
      </c>
      <c r="B17" s="15">
        <v>41012</v>
      </c>
      <c r="C17" s="15">
        <v>41025</v>
      </c>
      <c r="D17" s="13">
        <f t="shared" si="0"/>
        <v>359636.66600000003</v>
      </c>
      <c r="E17" s="13">
        <v>50601.930999999997</v>
      </c>
      <c r="F17" s="13">
        <v>41144.563000000002</v>
      </c>
      <c r="G17" s="13">
        <v>110431.443</v>
      </c>
      <c r="H17" s="13">
        <v>16364.862999999999</v>
      </c>
      <c r="I17" s="13">
        <v>6250.4070000000002</v>
      </c>
      <c r="J17" s="13">
        <v>17987.187000000002</v>
      </c>
      <c r="K17" s="13">
        <v>65846.595000000001</v>
      </c>
      <c r="L17" s="13">
        <v>14069.566000000001</v>
      </c>
      <c r="M17" s="13">
        <v>36940.110999999997</v>
      </c>
      <c r="N17" s="4"/>
      <c r="O17" s="4"/>
    </row>
    <row r="18" spans="1:15" x14ac:dyDescent="0.25">
      <c r="A18" s="15">
        <v>41012</v>
      </c>
      <c r="B18" s="15">
        <v>41026</v>
      </c>
      <c r="C18" s="15">
        <v>41039</v>
      </c>
      <c r="D18" s="13">
        <f t="shared" si="0"/>
        <v>366252.27799999999</v>
      </c>
      <c r="E18" s="13">
        <v>51123.571000000004</v>
      </c>
      <c r="F18" s="13">
        <v>41938.286999999997</v>
      </c>
      <c r="G18" s="13">
        <v>113977.71799999999</v>
      </c>
      <c r="H18" s="13">
        <v>15931.811</v>
      </c>
      <c r="I18" s="13">
        <v>6237.616</v>
      </c>
      <c r="J18" s="13">
        <v>18169.437999999998</v>
      </c>
      <c r="K18" s="13">
        <v>67346.224000000002</v>
      </c>
      <c r="L18" s="13">
        <v>14163.012000000001</v>
      </c>
      <c r="M18" s="13">
        <v>37364.601000000002</v>
      </c>
      <c r="N18" s="4"/>
      <c r="O18" s="4"/>
    </row>
    <row r="19" spans="1:15" x14ac:dyDescent="0.25">
      <c r="A19" s="15">
        <v>41026</v>
      </c>
      <c r="B19" s="15">
        <v>41040</v>
      </c>
      <c r="C19" s="15">
        <v>41053</v>
      </c>
      <c r="D19" s="13">
        <f t="shared" si="0"/>
        <v>370067.10800000001</v>
      </c>
      <c r="E19" s="13">
        <v>52820.563000000002</v>
      </c>
      <c r="F19" s="13">
        <v>40988.993999999999</v>
      </c>
      <c r="G19" s="13">
        <v>111920.92200000001</v>
      </c>
      <c r="H19" s="13">
        <v>16089.058999999999</v>
      </c>
      <c r="I19" s="13">
        <v>6132.4359999999997</v>
      </c>
      <c r="J19" s="13">
        <v>18028.239000000001</v>
      </c>
      <c r="K19" s="13">
        <v>73645.922000000006</v>
      </c>
      <c r="L19" s="13">
        <v>13657.315000000001</v>
      </c>
      <c r="M19" s="13">
        <v>36783.658000000003</v>
      </c>
      <c r="N19" s="4"/>
      <c r="O19" s="4"/>
    </row>
    <row r="20" spans="1:15" x14ac:dyDescent="0.25">
      <c r="A20" s="15">
        <v>41040</v>
      </c>
      <c r="B20" s="15">
        <v>41054</v>
      </c>
      <c r="C20" s="15">
        <v>41067</v>
      </c>
      <c r="D20" s="13">
        <f t="shared" si="0"/>
        <v>372623.31099999993</v>
      </c>
      <c r="E20" s="13">
        <v>53270.815000000002</v>
      </c>
      <c r="F20" s="13">
        <v>40113.735000000001</v>
      </c>
      <c r="G20" s="13">
        <v>115291.429</v>
      </c>
      <c r="H20" s="13">
        <v>16206.349</v>
      </c>
      <c r="I20" s="13">
        <v>6255.5330000000004</v>
      </c>
      <c r="J20" s="13">
        <v>18025.089</v>
      </c>
      <c r="K20" s="13">
        <v>70225.402000000002</v>
      </c>
      <c r="L20" s="13">
        <v>16047.55</v>
      </c>
      <c r="M20" s="13">
        <v>37187.409</v>
      </c>
      <c r="N20" s="4"/>
      <c r="O20" s="4"/>
    </row>
    <row r="21" spans="1:15" x14ac:dyDescent="0.25">
      <c r="A21" s="15">
        <v>41054</v>
      </c>
      <c r="B21" s="15">
        <v>41068</v>
      </c>
      <c r="C21" s="15">
        <v>41081</v>
      </c>
      <c r="D21" s="13">
        <f t="shared" si="0"/>
        <v>378012.40899999999</v>
      </c>
      <c r="E21" s="13">
        <v>52031.707999999999</v>
      </c>
      <c r="F21" s="13">
        <v>39342.866000000002</v>
      </c>
      <c r="G21" s="13">
        <v>119801.202</v>
      </c>
      <c r="H21" s="13">
        <v>17240.871999999999</v>
      </c>
      <c r="I21" s="13">
        <v>6862.2889999999998</v>
      </c>
      <c r="J21" s="13">
        <v>18556.928</v>
      </c>
      <c r="K21" s="13">
        <v>71163.165999999997</v>
      </c>
      <c r="L21" s="13">
        <v>15725.791999999999</v>
      </c>
      <c r="M21" s="13">
        <v>37287.586000000003</v>
      </c>
      <c r="N21" s="4"/>
      <c r="O21" s="4"/>
    </row>
    <row r="22" spans="1:15" x14ac:dyDescent="0.25">
      <c r="A22" s="15">
        <v>41068</v>
      </c>
      <c r="B22" s="15">
        <v>41082</v>
      </c>
      <c r="C22" s="15">
        <v>41095</v>
      </c>
      <c r="D22" s="13">
        <f t="shared" si="0"/>
        <v>379182.74199999997</v>
      </c>
      <c r="E22" s="13">
        <v>53084.347999999998</v>
      </c>
      <c r="F22" s="13">
        <v>39894.637000000002</v>
      </c>
      <c r="G22" s="13">
        <v>117481.421</v>
      </c>
      <c r="H22" s="13">
        <v>17268.798999999999</v>
      </c>
      <c r="I22" s="13">
        <v>6919.6859999999997</v>
      </c>
      <c r="J22" s="13">
        <v>18529.025000000001</v>
      </c>
      <c r="K22" s="13">
        <v>73218.411999999997</v>
      </c>
      <c r="L22" s="13">
        <v>15200.022000000001</v>
      </c>
      <c r="M22" s="13">
        <v>37586.392</v>
      </c>
      <c r="N22" s="4"/>
      <c r="O22" s="4"/>
    </row>
    <row r="23" spans="1:15" x14ac:dyDescent="0.25">
      <c r="A23" s="15">
        <v>41082</v>
      </c>
      <c r="B23" s="15">
        <v>41096</v>
      </c>
      <c r="C23" s="15">
        <v>41109</v>
      </c>
      <c r="D23" s="13">
        <f t="shared" si="0"/>
        <v>378239.36800000002</v>
      </c>
      <c r="E23" s="13">
        <v>54902.26</v>
      </c>
      <c r="F23" s="13">
        <v>42525.525000000001</v>
      </c>
      <c r="G23" s="13">
        <v>113557.395</v>
      </c>
      <c r="H23" s="13">
        <v>17575.141</v>
      </c>
      <c r="I23" s="13">
        <v>6905.15</v>
      </c>
      <c r="J23" s="13">
        <v>18422.502</v>
      </c>
      <c r="K23" s="13">
        <v>71735.467999999993</v>
      </c>
      <c r="L23" s="13">
        <v>15151.878000000001</v>
      </c>
      <c r="M23" s="13">
        <v>37464.048999999999</v>
      </c>
      <c r="N23" s="4"/>
      <c r="O23" s="4"/>
    </row>
    <row r="24" spans="1:15" x14ac:dyDescent="0.25">
      <c r="A24" s="15">
        <v>41096</v>
      </c>
      <c r="B24" s="15">
        <v>41110</v>
      </c>
      <c r="C24" s="15">
        <v>41123</v>
      </c>
      <c r="D24" s="13">
        <f t="shared" si="0"/>
        <v>382244.89300000004</v>
      </c>
      <c r="E24" s="13">
        <v>54730.288</v>
      </c>
      <c r="F24" s="13">
        <v>39543.11</v>
      </c>
      <c r="G24" s="13">
        <v>116916.967</v>
      </c>
      <c r="H24" s="13">
        <v>17747.667000000001</v>
      </c>
      <c r="I24" s="13">
        <v>7030.1319999999996</v>
      </c>
      <c r="J24" s="13">
        <v>18692.562999999998</v>
      </c>
      <c r="K24" s="13">
        <v>72408.994000000006</v>
      </c>
      <c r="L24" s="13">
        <v>15904.761</v>
      </c>
      <c r="M24" s="13">
        <v>39270.411</v>
      </c>
      <c r="N24" s="4"/>
      <c r="O24" s="4"/>
    </row>
    <row r="25" spans="1:15" x14ac:dyDescent="0.25">
      <c r="A25" s="15">
        <v>41110</v>
      </c>
      <c r="B25" s="15">
        <v>41124</v>
      </c>
      <c r="C25" s="15">
        <v>41137</v>
      </c>
      <c r="D25" s="13">
        <f t="shared" si="0"/>
        <v>379475.53500000003</v>
      </c>
      <c r="E25" s="13">
        <v>53440.364000000001</v>
      </c>
      <c r="F25" s="13">
        <v>39384.902999999998</v>
      </c>
      <c r="G25" s="13">
        <v>116874.383</v>
      </c>
      <c r="H25" s="13">
        <v>17871.36</v>
      </c>
      <c r="I25" s="13">
        <v>6765.6</v>
      </c>
      <c r="J25" s="13">
        <v>18722.547999999999</v>
      </c>
      <c r="K25" s="13">
        <v>71187.301000000007</v>
      </c>
      <c r="L25" s="13">
        <v>15226.673000000001</v>
      </c>
      <c r="M25" s="13">
        <v>40002.402999999998</v>
      </c>
      <c r="N25" s="4"/>
      <c r="O25" s="4"/>
    </row>
    <row r="26" spans="1:15" x14ac:dyDescent="0.25">
      <c r="A26" s="15">
        <v>41124</v>
      </c>
      <c r="B26" s="15">
        <v>41138</v>
      </c>
      <c r="C26" s="15">
        <v>41151</v>
      </c>
      <c r="D26" s="13">
        <f t="shared" si="0"/>
        <v>376887.77399999998</v>
      </c>
      <c r="E26" s="13">
        <v>53491.709000000003</v>
      </c>
      <c r="F26" s="13">
        <v>39595.273000000001</v>
      </c>
      <c r="G26" s="13">
        <v>115339.234</v>
      </c>
      <c r="H26" s="13">
        <v>17533.079000000002</v>
      </c>
      <c r="I26" s="13">
        <v>6618.491</v>
      </c>
      <c r="J26" s="13">
        <v>18946.425999999999</v>
      </c>
      <c r="K26" s="13">
        <v>71345.986999999994</v>
      </c>
      <c r="L26" s="13">
        <v>14043.062</v>
      </c>
      <c r="M26" s="13">
        <v>39974.512999999999</v>
      </c>
      <c r="N26" s="4"/>
      <c r="O26" s="4"/>
    </row>
    <row r="27" spans="1:15" x14ac:dyDescent="0.25">
      <c r="A27" s="15">
        <v>41138</v>
      </c>
      <c r="B27" s="15">
        <v>41152</v>
      </c>
      <c r="C27" s="15">
        <v>41165</v>
      </c>
      <c r="D27" s="13">
        <f t="shared" si="0"/>
        <v>375305.31700000004</v>
      </c>
      <c r="E27" s="13">
        <v>52832.114000000001</v>
      </c>
      <c r="F27" s="13">
        <v>40259.777000000002</v>
      </c>
      <c r="G27" s="13">
        <v>114701.424</v>
      </c>
      <c r="H27" s="13">
        <v>17098.325000000001</v>
      </c>
      <c r="I27" s="13">
        <v>6638.7110000000002</v>
      </c>
      <c r="J27" s="13">
        <v>19376.559000000001</v>
      </c>
      <c r="K27" s="13">
        <v>71144.251999999993</v>
      </c>
      <c r="L27" s="13">
        <v>13495.684999999999</v>
      </c>
      <c r="M27" s="13">
        <v>39758.47</v>
      </c>
      <c r="N27" s="4"/>
      <c r="O27" s="4"/>
    </row>
    <row r="28" spans="1:15" x14ac:dyDescent="0.25">
      <c r="A28" s="15">
        <v>41152</v>
      </c>
      <c r="B28" s="15">
        <v>41166</v>
      </c>
      <c r="C28" s="15">
        <v>41179</v>
      </c>
      <c r="D28" s="13">
        <f t="shared" si="0"/>
        <v>379302.44399999996</v>
      </c>
      <c r="E28" s="13">
        <v>52022.023000000001</v>
      </c>
      <c r="F28" s="13">
        <v>38788.769999999997</v>
      </c>
      <c r="G28" s="13">
        <v>114732.29399999999</v>
      </c>
      <c r="H28" s="13">
        <v>17072.345000000001</v>
      </c>
      <c r="I28" s="13">
        <v>6914.8130000000001</v>
      </c>
      <c r="J28" s="13">
        <v>20266.350999999999</v>
      </c>
      <c r="K28" s="13">
        <v>75013.221999999994</v>
      </c>
      <c r="L28" s="13">
        <v>13838.665000000001</v>
      </c>
      <c r="M28" s="13">
        <v>40653.961000000003</v>
      </c>
      <c r="N28" s="4"/>
      <c r="O28" s="4"/>
    </row>
    <row r="29" spans="1:15" x14ac:dyDescent="0.25">
      <c r="A29" s="15">
        <v>41166</v>
      </c>
      <c r="B29" s="15">
        <v>41180</v>
      </c>
      <c r="C29" s="15">
        <v>41193</v>
      </c>
      <c r="D29" s="13">
        <f t="shared" si="0"/>
        <v>382561.76399999997</v>
      </c>
      <c r="E29" s="13">
        <v>53687.595999999998</v>
      </c>
      <c r="F29" s="13">
        <v>39355.209000000003</v>
      </c>
      <c r="G29" s="13">
        <v>116646.622</v>
      </c>
      <c r="H29" s="13">
        <v>15960.493</v>
      </c>
      <c r="I29" s="13">
        <v>7024.2539999999999</v>
      </c>
      <c r="J29" s="13">
        <v>20918.574000000001</v>
      </c>
      <c r="K29" s="13">
        <v>72734.546000000002</v>
      </c>
      <c r="L29" s="13">
        <v>12690.457</v>
      </c>
      <c r="M29" s="13">
        <v>43544.012999999999</v>
      </c>
      <c r="N29" s="4"/>
      <c r="O29" s="4"/>
    </row>
    <row r="30" spans="1:15" x14ac:dyDescent="0.25">
      <c r="A30" s="15">
        <v>41180</v>
      </c>
      <c r="B30" s="15">
        <v>41194</v>
      </c>
      <c r="C30" s="15">
        <v>41207</v>
      </c>
      <c r="D30" s="13">
        <f t="shared" si="0"/>
        <v>377556.79500000004</v>
      </c>
      <c r="E30" s="13">
        <v>53252.531000000003</v>
      </c>
      <c r="F30" s="13">
        <v>38389.086000000003</v>
      </c>
      <c r="G30" s="13">
        <v>113434.75599999999</v>
      </c>
      <c r="H30" s="13">
        <v>16204.62</v>
      </c>
      <c r="I30" s="13">
        <v>6844.2359999999999</v>
      </c>
      <c r="J30" s="13">
        <v>20856.782999999999</v>
      </c>
      <c r="K30" s="13">
        <v>72948.263000000006</v>
      </c>
      <c r="L30" s="13">
        <v>12148.981</v>
      </c>
      <c r="M30" s="13">
        <v>43477.538999999997</v>
      </c>
      <c r="N30" s="4"/>
      <c r="O30" s="4"/>
    </row>
    <row r="31" spans="1:15" x14ac:dyDescent="0.25">
      <c r="A31" s="15">
        <v>41194</v>
      </c>
      <c r="B31" s="15">
        <v>41208</v>
      </c>
      <c r="C31" s="15">
        <v>41221</v>
      </c>
      <c r="D31" s="13">
        <f t="shared" si="0"/>
        <v>381623.98099999997</v>
      </c>
      <c r="E31" s="13">
        <v>51611.057999999997</v>
      </c>
      <c r="F31" s="13">
        <v>38873.538</v>
      </c>
      <c r="G31" s="13">
        <v>117374.84600000001</v>
      </c>
      <c r="H31" s="13">
        <v>15658.324000000001</v>
      </c>
      <c r="I31" s="13">
        <v>7067.125</v>
      </c>
      <c r="J31" s="13">
        <v>21320.749</v>
      </c>
      <c r="K31" s="13">
        <v>74115.918000000005</v>
      </c>
      <c r="L31" s="13">
        <v>12026.888999999999</v>
      </c>
      <c r="M31" s="13">
        <v>43575.534</v>
      </c>
      <c r="N31" s="4"/>
      <c r="O31" s="4"/>
    </row>
    <row r="32" spans="1:15" x14ac:dyDescent="0.25">
      <c r="A32" s="15">
        <v>41208</v>
      </c>
      <c r="B32" s="15">
        <v>41222</v>
      </c>
      <c r="C32" s="15">
        <v>41235</v>
      </c>
      <c r="D32" s="13">
        <f t="shared" si="0"/>
        <v>383903.23299999995</v>
      </c>
      <c r="E32" s="13">
        <v>51855.972000000002</v>
      </c>
      <c r="F32" s="13">
        <v>37931.502</v>
      </c>
      <c r="G32" s="13">
        <v>118519.499</v>
      </c>
      <c r="H32" s="13">
        <v>15499.544</v>
      </c>
      <c r="I32" s="13">
        <v>7099.1040000000003</v>
      </c>
      <c r="J32" s="13">
        <v>21459.215</v>
      </c>
      <c r="K32" s="13">
        <v>72735.937000000005</v>
      </c>
      <c r="L32" s="13">
        <v>12103.883</v>
      </c>
      <c r="M32" s="13">
        <v>46698.576999999997</v>
      </c>
      <c r="N32" s="4"/>
      <c r="O32" s="4"/>
    </row>
    <row r="33" spans="1:15" x14ac:dyDescent="0.25">
      <c r="A33" s="15">
        <v>41222</v>
      </c>
      <c r="B33" s="15">
        <v>41236</v>
      </c>
      <c r="C33" s="15">
        <v>41249</v>
      </c>
      <c r="D33" s="13">
        <f t="shared" si="0"/>
        <v>379860.15299999993</v>
      </c>
      <c r="E33" s="13">
        <v>53484.133000000002</v>
      </c>
      <c r="F33" s="13">
        <v>39435.190999999999</v>
      </c>
      <c r="G33" s="13">
        <v>115970.433</v>
      </c>
      <c r="H33" s="13">
        <v>14116.724</v>
      </c>
      <c r="I33" s="13">
        <v>7079.6450000000004</v>
      </c>
      <c r="J33" s="13">
        <v>20776.966</v>
      </c>
      <c r="K33" s="13">
        <v>71782.259999999995</v>
      </c>
      <c r="L33" s="13">
        <v>11306.675999999999</v>
      </c>
      <c r="M33" s="13">
        <v>45908.125</v>
      </c>
      <c r="N33" s="4"/>
      <c r="O33" s="4"/>
    </row>
    <row r="34" spans="1:15" x14ac:dyDescent="0.25">
      <c r="A34" s="15">
        <v>41236</v>
      </c>
      <c r="B34" s="15">
        <v>41250</v>
      </c>
      <c r="C34" s="15">
        <v>41263</v>
      </c>
      <c r="D34" s="13">
        <f t="shared" si="0"/>
        <v>381160.93199999997</v>
      </c>
      <c r="E34" s="13">
        <v>52195.197</v>
      </c>
      <c r="F34" s="13">
        <v>40682.752999999997</v>
      </c>
      <c r="G34" s="13">
        <v>117145.41</v>
      </c>
      <c r="H34" s="13">
        <v>14329.578</v>
      </c>
      <c r="I34" s="13">
        <v>6556.3450000000003</v>
      </c>
      <c r="J34" s="13">
        <v>21244.376</v>
      </c>
      <c r="K34" s="13">
        <v>70948.861999999994</v>
      </c>
      <c r="L34" s="13">
        <v>11449.575000000001</v>
      </c>
      <c r="M34" s="13">
        <v>46608.836000000003</v>
      </c>
      <c r="N34" s="4"/>
      <c r="O34" s="4"/>
    </row>
    <row r="35" spans="1:15" x14ac:dyDescent="0.25">
      <c r="A35" s="15">
        <v>41250</v>
      </c>
      <c r="B35" s="15">
        <v>41264</v>
      </c>
      <c r="C35" s="15">
        <v>41277</v>
      </c>
      <c r="D35" s="13">
        <f t="shared" si="0"/>
        <v>381162.38699999999</v>
      </c>
      <c r="E35" s="13">
        <v>53069.481</v>
      </c>
      <c r="F35" s="13">
        <v>40962.970999999998</v>
      </c>
      <c r="G35" s="13">
        <v>116529.226</v>
      </c>
      <c r="H35" s="13">
        <v>14075.799000000001</v>
      </c>
      <c r="I35" s="13">
        <v>6291.817</v>
      </c>
      <c r="J35" s="13">
        <v>21393.675999999999</v>
      </c>
      <c r="K35" s="13">
        <v>70755.452999999994</v>
      </c>
      <c r="L35" s="13">
        <v>11568.626</v>
      </c>
      <c r="M35" s="13">
        <v>46515.338000000003</v>
      </c>
      <c r="N35" s="4"/>
      <c r="O35" s="4"/>
    </row>
    <row r="36" spans="1:15" x14ac:dyDescent="0.25">
      <c r="A36" s="15">
        <v>41264</v>
      </c>
      <c r="B36" s="15">
        <v>41278</v>
      </c>
      <c r="C36" s="15">
        <v>41291</v>
      </c>
      <c r="D36" s="13">
        <f t="shared" si="0"/>
        <v>385615.71299999999</v>
      </c>
      <c r="E36" s="13">
        <v>54953.466</v>
      </c>
      <c r="F36" s="13">
        <v>43386.512999999999</v>
      </c>
      <c r="G36" s="13">
        <v>114558.041</v>
      </c>
      <c r="H36" s="13">
        <v>15086.514999999999</v>
      </c>
      <c r="I36" s="13">
        <v>6229.5529999999999</v>
      </c>
      <c r="J36" s="13">
        <v>21507.668000000001</v>
      </c>
      <c r="K36" s="13">
        <v>71471.376999999993</v>
      </c>
      <c r="L36" s="13">
        <v>11439.272000000001</v>
      </c>
      <c r="M36" s="13">
        <v>46983.307999999997</v>
      </c>
      <c r="N36" s="4"/>
      <c r="O36" s="4"/>
    </row>
    <row r="37" spans="1:15" x14ac:dyDescent="0.25">
      <c r="A37" s="15">
        <v>41278</v>
      </c>
      <c r="B37" s="15">
        <v>41292</v>
      </c>
      <c r="C37" s="15">
        <v>41305</v>
      </c>
      <c r="D37" s="13">
        <f t="shared" si="0"/>
        <v>387787.77299999999</v>
      </c>
      <c r="E37" s="13">
        <v>55347.517999999996</v>
      </c>
      <c r="F37" s="13">
        <v>43463.120999999999</v>
      </c>
      <c r="G37" s="13">
        <v>113898.784</v>
      </c>
      <c r="H37" s="13">
        <v>14899.891</v>
      </c>
      <c r="I37" s="13">
        <v>6372.3090000000002</v>
      </c>
      <c r="J37" s="13">
        <v>21448.278999999999</v>
      </c>
      <c r="K37" s="13">
        <v>74568.042000000001</v>
      </c>
      <c r="L37" s="13">
        <v>11181.871999999999</v>
      </c>
      <c r="M37" s="13">
        <v>46607.957000000002</v>
      </c>
      <c r="N37" s="4"/>
      <c r="O37" s="4"/>
    </row>
    <row r="38" spans="1:15" x14ac:dyDescent="0.25">
      <c r="A38" s="15">
        <v>41292</v>
      </c>
      <c r="B38" s="15">
        <v>41306</v>
      </c>
      <c r="C38" s="15">
        <v>41319</v>
      </c>
      <c r="D38" s="13">
        <f t="shared" si="0"/>
        <v>392486.86800000002</v>
      </c>
      <c r="E38" s="13">
        <v>56002.877999999997</v>
      </c>
      <c r="F38" s="13">
        <v>44563.591</v>
      </c>
      <c r="G38" s="13">
        <v>116218.094</v>
      </c>
      <c r="H38" s="13">
        <v>16138.541999999999</v>
      </c>
      <c r="I38" s="13">
        <v>6744.299</v>
      </c>
      <c r="J38" s="13">
        <v>21427.507000000001</v>
      </c>
      <c r="K38" s="13">
        <v>74321.930999999997</v>
      </c>
      <c r="L38" s="13">
        <v>10621.968999999999</v>
      </c>
      <c r="M38" s="13">
        <v>46448.057000000001</v>
      </c>
      <c r="N38" s="4"/>
      <c r="O38" s="4"/>
    </row>
    <row r="39" spans="1:15" x14ac:dyDescent="0.25">
      <c r="A39" s="15">
        <v>41306</v>
      </c>
      <c r="B39" s="15">
        <v>41320</v>
      </c>
      <c r="C39" s="15">
        <v>41333</v>
      </c>
      <c r="D39" s="13">
        <f t="shared" si="0"/>
        <v>398063.02900000004</v>
      </c>
      <c r="E39" s="13">
        <v>56222.571000000004</v>
      </c>
      <c r="F39" s="13">
        <v>44185.59</v>
      </c>
      <c r="G39" s="13">
        <v>115734.77899999999</v>
      </c>
      <c r="H39" s="13">
        <v>17084.810000000001</v>
      </c>
      <c r="I39" s="13">
        <v>7822.7979999999998</v>
      </c>
      <c r="J39" s="13">
        <v>21407.835999999999</v>
      </c>
      <c r="K39" s="13">
        <v>78850.159</v>
      </c>
      <c r="L39" s="13">
        <v>10150.465</v>
      </c>
      <c r="M39" s="13">
        <v>46604.021000000001</v>
      </c>
      <c r="N39" s="4"/>
      <c r="O39" s="4"/>
    </row>
    <row r="40" spans="1:15" x14ac:dyDescent="0.25">
      <c r="A40" s="15">
        <v>41320</v>
      </c>
      <c r="B40" s="15">
        <v>41334</v>
      </c>
      <c r="C40" s="15">
        <v>41347</v>
      </c>
      <c r="D40" s="13">
        <f t="shared" si="0"/>
        <v>398989.61600000004</v>
      </c>
      <c r="E40" s="13">
        <v>56922.906000000003</v>
      </c>
      <c r="F40" s="13">
        <v>42088.697999999997</v>
      </c>
      <c r="G40" s="13">
        <v>114466.315</v>
      </c>
      <c r="H40" s="13">
        <v>17345.687000000002</v>
      </c>
      <c r="I40" s="13">
        <v>8144.527</v>
      </c>
      <c r="J40" s="13">
        <v>21106.98</v>
      </c>
      <c r="K40" s="13">
        <v>80685.732000000004</v>
      </c>
      <c r="L40" s="13">
        <v>9960.8130000000001</v>
      </c>
      <c r="M40" s="13">
        <v>48267.957999999999</v>
      </c>
      <c r="N40" s="4"/>
      <c r="O40" s="4"/>
    </row>
    <row r="41" spans="1:15" x14ac:dyDescent="0.25">
      <c r="A41" s="15">
        <v>41334</v>
      </c>
      <c r="B41" s="15">
        <v>41348</v>
      </c>
      <c r="C41" s="15">
        <v>41361</v>
      </c>
      <c r="D41" s="13">
        <f t="shared" si="0"/>
        <v>402301.58300000004</v>
      </c>
      <c r="E41" s="13">
        <v>55877.071000000004</v>
      </c>
      <c r="F41" s="13">
        <v>43372.413999999997</v>
      </c>
      <c r="G41" s="13">
        <v>113437.997</v>
      </c>
      <c r="H41" s="13">
        <v>18076.311000000002</v>
      </c>
      <c r="I41" s="13">
        <v>8538.0969999999998</v>
      </c>
      <c r="J41" s="13">
        <v>20803.312999999998</v>
      </c>
      <c r="K41" s="13">
        <v>84950.106</v>
      </c>
      <c r="L41" s="13">
        <v>9733.33</v>
      </c>
      <c r="M41" s="13">
        <v>47512.944000000003</v>
      </c>
      <c r="N41" s="4"/>
      <c r="O41" s="4"/>
    </row>
    <row r="42" spans="1:15" x14ac:dyDescent="0.25">
      <c r="A42" s="15">
        <v>41348</v>
      </c>
      <c r="B42" s="15">
        <v>41362</v>
      </c>
      <c r="C42" s="15">
        <v>41375</v>
      </c>
      <c r="D42" s="13">
        <f t="shared" si="0"/>
        <v>410494.98300000001</v>
      </c>
      <c r="E42" s="13">
        <v>56175.455999999998</v>
      </c>
      <c r="F42" s="13">
        <v>42736.694000000003</v>
      </c>
      <c r="G42" s="13">
        <v>116407.469</v>
      </c>
      <c r="H42" s="13">
        <v>17724.080999999998</v>
      </c>
      <c r="I42" s="13">
        <v>8769.9969999999994</v>
      </c>
      <c r="J42" s="13">
        <v>20878.623</v>
      </c>
      <c r="K42" s="13">
        <v>88225.928</v>
      </c>
      <c r="L42" s="13">
        <v>10074.853999999999</v>
      </c>
      <c r="M42" s="13">
        <v>49501.881000000001</v>
      </c>
      <c r="N42" s="4"/>
      <c r="O42" s="4"/>
    </row>
    <row r="43" spans="1:15" x14ac:dyDescent="0.25">
      <c r="A43" s="15">
        <v>41362</v>
      </c>
      <c r="B43" s="15">
        <v>41376</v>
      </c>
      <c r="C43" s="15">
        <v>41389</v>
      </c>
      <c r="D43" s="13">
        <f t="shared" si="0"/>
        <v>409231.59199999995</v>
      </c>
      <c r="E43" s="13">
        <v>57974.446000000004</v>
      </c>
      <c r="F43" s="13">
        <v>40536.586000000003</v>
      </c>
      <c r="G43" s="13">
        <v>116194.908</v>
      </c>
      <c r="H43" s="13">
        <v>18165.789000000001</v>
      </c>
      <c r="I43" s="13">
        <v>8978.2309999999998</v>
      </c>
      <c r="J43" s="13">
        <v>20825.695</v>
      </c>
      <c r="K43" s="13">
        <v>87355.839000000007</v>
      </c>
      <c r="L43" s="13">
        <v>10162.972</v>
      </c>
      <c r="M43" s="13">
        <v>49037.125999999997</v>
      </c>
      <c r="N43" s="4"/>
      <c r="O43" s="4"/>
    </row>
    <row r="44" spans="1:15" x14ac:dyDescent="0.25">
      <c r="A44" s="15">
        <v>41376</v>
      </c>
      <c r="B44" s="15">
        <v>41390</v>
      </c>
      <c r="C44" s="15">
        <v>41403</v>
      </c>
      <c r="D44" s="13">
        <f t="shared" si="0"/>
        <v>419190.58999999997</v>
      </c>
      <c r="E44" s="13">
        <v>57425.7</v>
      </c>
      <c r="F44" s="13">
        <v>42007.292000000001</v>
      </c>
      <c r="G44" s="13">
        <v>118905.66499999999</v>
      </c>
      <c r="H44" s="13">
        <v>18490.84</v>
      </c>
      <c r="I44" s="13">
        <v>8938.9490000000005</v>
      </c>
      <c r="J44" s="13">
        <v>20882.235000000001</v>
      </c>
      <c r="K44" s="13">
        <v>92334.489000000001</v>
      </c>
      <c r="L44" s="13">
        <v>10382.681</v>
      </c>
      <c r="M44" s="13">
        <v>49822.739000000001</v>
      </c>
      <c r="N44" s="4"/>
      <c r="O44" s="4"/>
    </row>
    <row r="45" spans="1:15" x14ac:dyDescent="0.25">
      <c r="A45" s="15">
        <v>41390</v>
      </c>
      <c r="B45" s="15">
        <v>41404</v>
      </c>
      <c r="C45" s="15">
        <v>41417</v>
      </c>
      <c r="D45" s="13">
        <f t="shared" si="0"/>
        <v>429182.76299999998</v>
      </c>
      <c r="E45" s="13">
        <v>58352.440999999999</v>
      </c>
      <c r="F45" s="13">
        <v>42785.686999999998</v>
      </c>
      <c r="G45" s="13">
        <v>119996.37699999999</v>
      </c>
      <c r="H45" s="13">
        <v>18730.258000000002</v>
      </c>
      <c r="I45" s="13">
        <v>9658.7250000000004</v>
      </c>
      <c r="J45" s="13">
        <v>21003.040000000001</v>
      </c>
      <c r="K45" s="13">
        <v>96465.74</v>
      </c>
      <c r="L45" s="13">
        <v>10508.659</v>
      </c>
      <c r="M45" s="13">
        <v>51681.836000000003</v>
      </c>
      <c r="N45" s="4"/>
      <c r="O45" s="4"/>
    </row>
    <row r="46" spans="1:15" x14ac:dyDescent="0.25">
      <c r="A46" s="15">
        <v>41404</v>
      </c>
      <c r="B46" s="15">
        <v>41418</v>
      </c>
      <c r="C46" s="15">
        <v>41431</v>
      </c>
      <c r="D46" s="13">
        <f t="shared" si="0"/>
        <v>426198.37400000007</v>
      </c>
      <c r="E46" s="13">
        <v>57846.95</v>
      </c>
      <c r="F46" s="13">
        <v>42987.707000000002</v>
      </c>
      <c r="G46" s="13">
        <v>119625.879</v>
      </c>
      <c r="H46" s="13">
        <v>18380.028999999999</v>
      </c>
      <c r="I46" s="13">
        <v>10016.965</v>
      </c>
      <c r="J46" s="13">
        <v>21061.031999999999</v>
      </c>
      <c r="K46" s="13">
        <v>95859.551999999996</v>
      </c>
      <c r="L46" s="13">
        <v>8070.2830000000004</v>
      </c>
      <c r="M46" s="13">
        <v>52349.976999999999</v>
      </c>
      <c r="N46" s="4"/>
      <c r="O46" s="4"/>
    </row>
    <row r="47" spans="1:15" x14ac:dyDescent="0.25">
      <c r="A47" s="15">
        <v>41418</v>
      </c>
      <c r="B47" s="15">
        <v>41432</v>
      </c>
      <c r="C47" s="15">
        <v>41445</v>
      </c>
      <c r="D47" s="13">
        <f t="shared" si="0"/>
        <v>431277.46900000004</v>
      </c>
      <c r="E47" s="13">
        <v>59213.398999999998</v>
      </c>
      <c r="F47" s="13">
        <v>42335.796999999999</v>
      </c>
      <c r="G47" s="13">
        <v>117770.973</v>
      </c>
      <c r="H47" s="13">
        <v>19318.038</v>
      </c>
      <c r="I47" s="13">
        <v>10791.901</v>
      </c>
      <c r="J47" s="13">
        <v>21946.781999999999</v>
      </c>
      <c r="K47" s="13">
        <v>99377.203999999998</v>
      </c>
      <c r="L47" s="13">
        <v>8173.7790000000005</v>
      </c>
      <c r="M47" s="13">
        <v>52349.595999999998</v>
      </c>
      <c r="N47" s="4"/>
      <c r="O47" s="4"/>
    </row>
    <row r="48" spans="1:15" x14ac:dyDescent="0.25">
      <c r="A48" s="15">
        <v>41432</v>
      </c>
      <c r="B48" s="15">
        <v>41446</v>
      </c>
      <c r="C48" s="15">
        <v>41459</v>
      </c>
      <c r="D48" s="13">
        <f t="shared" si="0"/>
        <v>441265.98699999996</v>
      </c>
      <c r="E48" s="13">
        <v>57738.017999999996</v>
      </c>
      <c r="F48" s="13">
        <v>47620.063999999998</v>
      </c>
      <c r="G48" s="13">
        <v>115214.118</v>
      </c>
      <c r="H48" s="13">
        <v>21402.039000000001</v>
      </c>
      <c r="I48" s="13">
        <v>11589.558999999999</v>
      </c>
      <c r="J48" s="13">
        <v>22697.025000000001</v>
      </c>
      <c r="K48" s="13">
        <v>102220.236</v>
      </c>
      <c r="L48" s="13">
        <v>9084.4590000000007</v>
      </c>
      <c r="M48" s="13">
        <v>53700.468999999997</v>
      </c>
      <c r="N48" s="4"/>
      <c r="O48" s="4"/>
    </row>
    <row r="49" spans="1:16" x14ac:dyDescent="0.25">
      <c r="A49" s="15">
        <v>41446</v>
      </c>
      <c r="B49" s="15">
        <v>41460</v>
      </c>
      <c r="C49" s="15">
        <v>41473</v>
      </c>
      <c r="D49" s="13">
        <f t="shared" si="0"/>
        <v>453430.69999999995</v>
      </c>
      <c r="E49" s="13">
        <v>58325.587</v>
      </c>
      <c r="F49" s="13">
        <v>46344.536</v>
      </c>
      <c r="G49" s="13">
        <v>118732.978</v>
      </c>
      <c r="H49" s="13">
        <v>22724.55</v>
      </c>
      <c r="I49" s="13">
        <v>12068.418</v>
      </c>
      <c r="J49" s="13">
        <v>23140.406999999999</v>
      </c>
      <c r="K49" s="13">
        <v>108589.257</v>
      </c>
      <c r="L49" s="13">
        <v>9462.8420000000006</v>
      </c>
      <c r="M49" s="13">
        <v>54042.125</v>
      </c>
      <c r="N49" s="4"/>
      <c r="O49" s="4"/>
    </row>
    <row r="50" spans="1:16" x14ac:dyDescent="0.25">
      <c r="A50" s="15">
        <v>41460</v>
      </c>
      <c r="B50" s="15">
        <v>41474</v>
      </c>
      <c r="C50" s="15">
        <v>41487</v>
      </c>
      <c r="D50" s="13">
        <f t="shared" si="0"/>
        <v>458522.94100000005</v>
      </c>
      <c r="E50" s="13">
        <v>59465.618000000002</v>
      </c>
      <c r="F50" s="13">
        <v>41524.428999999996</v>
      </c>
      <c r="G50" s="13">
        <v>119917.482</v>
      </c>
      <c r="H50" s="13">
        <v>22941.917000000001</v>
      </c>
      <c r="I50" s="13">
        <v>11827.63</v>
      </c>
      <c r="J50" s="13">
        <v>23288.041000000001</v>
      </c>
      <c r="K50" s="13">
        <v>113899.47100000001</v>
      </c>
      <c r="L50" s="13">
        <v>10263.513999999999</v>
      </c>
      <c r="M50" s="13">
        <v>55394.839</v>
      </c>
      <c r="N50" s="4"/>
      <c r="O50" s="4"/>
    </row>
    <row r="51" spans="1:16" x14ac:dyDescent="0.25">
      <c r="A51" s="15">
        <v>41474</v>
      </c>
      <c r="B51" s="15">
        <v>41488</v>
      </c>
      <c r="C51" s="15">
        <v>41501</v>
      </c>
      <c r="D51" s="13">
        <f t="shared" si="0"/>
        <v>457972.99199999997</v>
      </c>
      <c r="E51" s="13">
        <v>59786.894999999997</v>
      </c>
      <c r="F51" s="13">
        <v>41081.459000000003</v>
      </c>
      <c r="G51" s="13">
        <v>125323.54399999999</v>
      </c>
      <c r="H51" s="13">
        <v>23628.475999999999</v>
      </c>
      <c r="I51" s="13">
        <v>11603.954</v>
      </c>
      <c r="J51" s="13">
        <v>22652.12</v>
      </c>
      <c r="K51" s="13">
        <v>106789.754</v>
      </c>
      <c r="L51" s="13">
        <v>10630.07</v>
      </c>
      <c r="M51" s="13">
        <v>56476.72</v>
      </c>
      <c r="N51" s="4"/>
      <c r="O51" s="4"/>
    </row>
    <row r="52" spans="1:16" x14ac:dyDescent="0.25">
      <c r="A52" s="15">
        <v>41488</v>
      </c>
      <c r="B52" s="15">
        <v>41502</v>
      </c>
      <c r="C52" s="15">
        <v>41515</v>
      </c>
      <c r="D52" s="13">
        <f t="shared" si="0"/>
        <v>473863.58099999995</v>
      </c>
      <c r="E52" s="13">
        <v>61026.048000000003</v>
      </c>
      <c r="F52" s="13">
        <v>42446.595000000001</v>
      </c>
      <c r="G52" s="13">
        <v>131863.731</v>
      </c>
      <c r="H52" s="13">
        <v>25572.248</v>
      </c>
      <c r="I52" s="13">
        <v>11182.036</v>
      </c>
      <c r="J52" s="13">
        <v>23489.898000000001</v>
      </c>
      <c r="K52" s="13">
        <v>108904.21799999999</v>
      </c>
      <c r="L52" s="13">
        <v>11285.975</v>
      </c>
      <c r="M52" s="13">
        <v>58092.832000000002</v>
      </c>
      <c r="N52" s="4"/>
      <c r="O52" s="4"/>
    </row>
    <row r="53" spans="1:16" x14ac:dyDescent="0.25">
      <c r="A53" s="15">
        <v>41502</v>
      </c>
      <c r="B53" s="15">
        <v>41519</v>
      </c>
      <c r="C53" s="15">
        <v>41529</v>
      </c>
      <c r="D53" s="13">
        <f t="shared" si="0"/>
        <v>478352.58200000005</v>
      </c>
      <c r="E53" s="13">
        <v>61984.447999999997</v>
      </c>
      <c r="F53" s="13">
        <v>43036.082999999999</v>
      </c>
      <c r="G53" s="13">
        <v>134914.70000000001</v>
      </c>
      <c r="H53" s="13">
        <v>25362.32</v>
      </c>
      <c r="I53" s="13">
        <v>11337.521000000001</v>
      </c>
      <c r="J53" s="13">
        <v>23832.346000000001</v>
      </c>
      <c r="K53" s="13">
        <v>108502.037</v>
      </c>
      <c r="L53" s="13">
        <v>11499.178</v>
      </c>
      <c r="M53" s="13">
        <v>57883.949000000001</v>
      </c>
      <c r="N53" s="4"/>
      <c r="O53" s="4"/>
    </row>
    <row r="54" spans="1:16" x14ac:dyDescent="0.25">
      <c r="A54" s="15">
        <v>41519</v>
      </c>
      <c r="B54" s="15">
        <v>41530</v>
      </c>
      <c r="C54" s="15">
        <v>41543</v>
      </c>
      <c r="D54" s="13">
        <f t="shared" si="0"/>
        <v>518587.35100000008</v>
      </c>
      <c r="E54" s="13">
        <v>64740.133000000002</v>
      </c>
      <c r="F54" s="13">
        <v>45186.762999999999</v>
      </c>
      <c r="G54" s="13">
        <v>149085.47899999999</v>
      </c>
      <c r="H54" s="13">
        <v>26972.190999999999</v>
      </c>
      <c r="I54" s="13">
        <v>12000.715</v>
      </c>
      <c r="J54" s="13">
        <v>25760.916000000001</v>
      </c>
      <c r="K54" s="13">
        <v>120840.128</v>
      </c>
      <c r="L54" s="13">
        <v>12557.911</v>
      </c>
      <c r="M54" s="13">
        <v>61443.114999999998</v>
      </c>
      <c r="N54" s="4"/>
      <c r="O54" s="4"/>
    </row>
    <row r="55" spans="1:16" x14ac:dyDescent="0.25">
      <c r="A55" s="15">
        <v>41530</v>
      </c>
      <c r="B55" s="15">
        <v>41544</v>
      </c>
      <c r="C55" s="15">
        <v>41557</v>
      </c>
      <c r="D55" s="13">
        <f t="shared" si="0"/>
        <v>508548.14400000003</v>
      </c>
      <c r="E55" s="13">
        <v>64215.620999999999</v>
      </c>
      <c r="F55" s="13">
        <v>44091.106</v>
      </c>
      <c r="G55" s="13">
        <v>149762.228</v>
      </c>
      <c r="H55" s="13">
        <v>26308.192999999999</v>
      </c>
      <c r="I55" s="13">
        <v>11667.454</v>
      </c>
      <c r="J55" s="13">
        <v>25522.624</v>
      </c>
      <c r="K55" s="13">
        <v>113676.07799999999</v>
      </c>
      <c r="L55" s="13">
        <v>13015.22</v>
      </c>
      <c r="M55" s="13">
        <v>60289.62</v>
      </c>
      <c r="N55" s="4"/>
      <c r="O55" s="4"/>
    </row>
    <row r="56" spans="1:16" x14ac:dyDescent="0.25">
      <c r="A56" s="15">
        <v>41544</v>
      </c>
      <c r="B56" s="15">
        <v>41558</v>
      </c>
      <c r="C56" s="15">
        <v>41571</v>
      </c>
      <c r="D56" s="13">
        <f t="shared" si="0"/>
        <v>512685.25700000004</v>
      </c>
      <c r="E56" s="13">
        <v>64715.288999999997</v>
      </c>
      <c r="F56" s="13">
        <v>45372.232000000004</v>
      </c>
      <c r="G56" s="13">
        <v>148853.527</v>
      </c>
      <c r="H56" s="13">
        <v>26263.546999999999</v>
      </c>
      <c r="I56" s="13">
        <v>11652.553</v>
      </c>
      <c r="J56" s="13">
        <v>25815.346000000001</v>
      </c>
      <c r="K56" s="13">
        <v>116049.674</v>
      </c>
      <c r="L56" s="13">
        <v>14155.223</v>
      </c>
      <c r="M56" s="13">
        <v>59807.866000000002</v>
      </c>
      <c r="N56" s="4"/>
      <c r="O56" s="4"/>
    </row>
    <row r="57" spans="1:16" x14ac:dyDescent="0.25">
      <c r="A57" s="15">
        <v>41558</v>
      </c>
      <c r="B57" s="15">
        <v>41572</v>
      </c>
      <c r="C57" s="15">
        <v>41585</v>
      </c>
      <c r="D57" s="13">
        <f t="shared" si="0"/>
        <v>506718.75800000003</v>
      </c>
      <c r="E57" s="13">
        <v>64792.146999999997</v>
      </c>
      <c r="F57" s="13">
        <v>42887.074999999997</v>
      </c>
      <c r="G57" s="13">
        <v>148005.81700000001</v>
      </c>
      <c r="H57" s="13">
        <v>26289.18</v>
      </c>
      <c r="I57" s="13">
        <v>11856.85</v>
      </c>
      <c r="J57" s="13">
        <v>25483.579000000002</v>
      </c>
      <c r="K57" s="13">
        <v>113968.492</v>
      </c>
      <c r="L57" s="13">
        <v>14267.602000000001</v>
      </c>
      <c r="M57" s="13">
        <v>59168.016000000003</v>
      </c>
      <c r="N57" s="4"/>
      <c r="O57" s="4"/>
    </row>
    <row r="58" spans="1:16" x14ac:dyDescent="0.25">
      <c r="A58" s="15">
        <v>41572</v>
      </c>
      <c r="B58" s="15">
        <v>41586</v>
      </c>
      <c r="C58" s="15">
        <v>41599</v>
      </c>
      <c r="D58" s="13">
        <f t="shared" si="0"/>
        <v>513830.61699999991</v>
      </c>
      <c r="E58" s="13">
        <v>65840.285999999993</v>
      </c>
      <c r="F58" s="13">
        <v>46046.413999999997</v>
      </c>
      <c r="G58" s="13">
        <v>147933.12299999999</v>
      </c>
      <c r="H58" s="13">
        <v>26433.927</v>
      </c>
      <c r="I58" s="13">
        <v>11426.008</v>
      </c>
      <c r="J58" s="13">
        <v>25801.327000000001</v>
      </c>
      <c r="K58" s="13">
        <v>115556.144</v>
      </c>
      <c r="L58" s="13">
        <v>14369.022999999999</v>
      </c>
      <c r="M58" s="13">
        <v>60424.364999999998</v>
      </c>
      <c r="N58" s="4"/>
      <c r="O58" s="4"/>
    </row>
    <row r="59" spans="1:16" x14ac:dyDescent="0.25">
      <c r="A59" s="15">
        <v>41586</v>
      </c>
      <c r="B59" s="15">
        <v>41600</v>
      </c>
      <c r="C59" s="15">
        <v>41613</v>
      </c>
      <c r="D59" s="13">
        <f t="shared" si="0"/>
        <v>526459.57400000002</v>
      </c>
      <c r="E59" s="13">
        <v>64815.406000000003</v>
      </c>
      <c r="F59" s="13">
        <v>48054.930999999997</v>
      </c>
      <c r="G59" s="13">
        <v>152313.73699999999</v>
      </c>
      <c r="H59" s="13">
        <v>26558.045999999998</v>
      </c>
      <c r="I59" s="13">
        <v>11555.089</v>
      </c>
      <c r="J59" s="13">
        <v>26068.752</v>
      </c>
      <c r="K59" s="13">
        <v>119057.97199999999</v>
      </c>
      <c r="L59" s="13">
        <v>14903.315000000001</v>
      </c>
      <c r="M59" s="13">
        <v>63132.326000000001</v>
      </c>
      <c r="N59" s="4"/>
      <c r="O59" s="4"/>
    </row>
    <row r="60" spans="1:16" x14ac:dyDescent="0.25">
      <c r="A60" s="15">
        <v>41600</v>
      </c>
      <c r="B60" s="15">
        <v>41614</v>
      </c>
      <c r="C60" s="15">
        <v>41627</v>
      </c>
      <c r="D60" s="13">
        <f t="shared" si="0"/>
        <v>527207.826</v>
      </c>
      <c r="E60" s="13">
        <v>65672.934999999998</v>
      </c>
      <c r="F60" s="13">
        <v>45275.203999999998</v>
      </c>
      <c r="G60" s="13">
        <v>156557.46900000001</v>
      </c>
      <c r="H60" s="13">
        <v>25958.006000000001</v>
      </c>
      <c r="I60" s="13">
        <v>10943.766</v>
      </c>
      <c r="J60" s="13">
        <v>25689.644</v>
      </c>
      <c r="K60" s="13">
        <v>119339.796</v>
      </c>
      <c r="L60" s="13">
        <v>15317.32</v>
      </c>
      <c r="M60" s="13">
        <v>62453.686000000002</v>
      </c>
      <c r="N60" s="4"/>
      <c r="O60" s="4"/>
    </row>
    <row r="61" spans="1:16" x14ac:dyDescent="0.25">
      <c r="A61" s="16">
        <v>41614</v>
      </c>
      <c r="B61" s="15">
        <v>41628</v>
      </c>
      <c r="C61" s="15">
        <v>41641</v>
      </c>
      <c r="D61" s="13">
        <f t="shared" si="0"/>
        <v>550480.28500000003</v>
      </c>
      <c r="E61" s="13">
        <v>67177.592000000004</v>
      </c>
      <c r="F61" s="13">
        <v>49897.834000000003</v>
      </c>
      <c r="G61" s="13">
        <v>158875.003</v>
      </c>
      <c r="H61" s="13">
        <v>25776.210999999999</v>
      </c>
      <c r="I61" s="13">
        <v>12517.011</v>
      </c>
      <c r="J61" s="13">
        <v>26388.309000000001</v>
      </c>
      <c r="K61" s="13">
        <v>126311.299</v>
      </c>
      <c r="L61" s="13">
        <v>16541.489000000001</v>
      </c>
      <c r="M61" s="13">
        <v>66995.536999999997</v>
      </c>
      <c r="N61" s="4"/>
      <c r="O61" s="4"/>
    </row>
    <row r="62" spans="1:16" x14ac:dyDescent="0.25">
      <c r="A62" s="15">
        <v>41628</v>
      </c>
      <c r="B62" s="15">
        <v>41642</v>
      </c>
      <c r="C62" s="15">
        <v>41655</v>
      </c>
      <c r="D62" s="13">
        <f t="shared" si="0"/>
        <v>558773.576</v>
      </c>
      <c r="E62" s="13">
        <v>70118.89</v>
      </c>
      <c r="F62" s="13">
        <v>55487.862999999998</v>
      </c>
      <c r="G62" s="13">
        <v>156707.576</v>
      </c>
      <c r="H62" s="13">
        <v>25525.044000000002</v>
      </c>
      <c r="I62" s="13">
        <v>12552.933000000001</v>
      </c>
      <c r="J62" s="13">
        <v>26582.581999999999</v>
      </c>
      <c r="K62" s="13">
        <v>125782.114</v>
      </c>
      <c r="L62" s="13">
        <v>18456.473999999998</v>
      </c>
      <c r="M62" s="13">
        <v>67560.100000000006</v>
      </c>
      <c r="N62" s="4"/>
      <c r="O62" s="4"/>
    </row>
    <row r="63" spans="1:16" x14ac:dyDescent="0.25">
      <c r="A63" s="15">
        <v>41642</v>
      </c>
      <c r="B63" s="15">
        <v>41656</v>
      </c>
      <c r="C63" s="15">
        <v>41669</v>
      </c>
      <c r="D63" s="13">
        <f t="shared" si="0"/>
        <v>583062.16</v>
      </c>
      <c r="E63" s="13">
        <v>68297.343999999997</v>
      </c>
      <c r="F63" s="13">
        <v>55903.535000000003</v>
      </c>
      <c r="G63" s="13">
        <v>166598.95600000001</v>
      </c>
      <c r="H63" s="13">
        <v>25897.764999999999</v>
      </c>
      <c r="I63" s="13">
        <v>13260.136</v>
      </c>
      <c r="J63" s="13">
        <v>28518.116000000002</v>
      </c>
      <c r="K63" s="13">
        <v>132443.96799999999</v>
      </c>
      <c r="L63" s="13">
        <v>20568.808000000001</v>
      </c>
      <c r="M63" s="13">
        <v>71573.532000000007</v>
      </c>
      <c r="N63" s="4"/>
      <c r="O63" s="4"/>
    </row>
    <row r="64" spans="1:16" x14ac:dyDescent="0.25">
      <c r="A64" s="16">
        <v>41656</v>
      </c>
      <c r="B64" s="15">
        <v>41670</v>
      </c>
      <c r="C64" s="15">
        <v>41683</v>
      </c>
      <c r="D64" s="13">
        <f t="shared" si="0"/>
        <v>576150.57000000007</v>
      </c>
      <c r="E64" s="13">
        <v>69078.441000000006</v>
      </c>
      <c r="F64" s="13">
        <v>53687.635000000002</v>
      </c>
      <c r="G64" s="13">
        <v>174679.679</v>
      </c>
      <c r="H64" s="13">
        <v>24365.100999999999</v>
      </c>
      <c r="I64" s="13">
        <v>12740.888999999999</v>
      </c>
      <c r="J64" s="13">
        <v>28473.514999999999</v>
      </c>
      <c r="K64" s="13">
        <v>120159.93399999999</v>
      </c>
      <c r="L64" s="13">
        <v>21136.566999999999</v>
      </c>
      <c r="M64" s="13">
        <v>71828.808999999994</v>
      </c>
      <c r="N64" s="4"/>
      <c r="O64" s="4"/>
      <c r="P64" s="4"/>
    </row>
    <row r="65" spans="1:16" x14ac:dyDescent="0.25">
      <c r="A65" s="15">
        <v>41670</v>
      </c>
      <c r="B65" s="15">
        <v>41684</v>
      </c>
      <c r="C65" s="15">
        <v>41697</v>
      </c>
      <c r="D65" s="13">
        <f t="shared" si="0"/>
        <v>598698.43599999999</v>
      </c>
      <c r="E65" s="13">
        <v>71834.997000000003</v>
      </c>
      <c r="F65" s="13">
        <v>55128.519</v>
      </c>
      <c r="G65" s="13">
        <v>187768.57199999999</v>
      </c>
      <c r="H65" s="13">
        <v>24511.664000000001</v>
      </c>
      <c r="I65" s="13">
        <v>13263.264999999999</v>
      </c>
      <c r="J65" s="13">
        <v>29091.665000000001</v>
      </c>
      <c r="K65" s="13">
        <v>120484.27899999999</v>
      </c>
      <c r="L65" s="13">
        <v>22393.285</v>
      </c>
      <c r="M65" s="13">
        <v>74222.19</v>
      </c>
      <c r="N65" s="4"/>
      <c r="O65" s="4"/>
      <c r="P65" s="4"/>
    </row>
    <row r="66" spans="1:16" x14ac:dyDescent="0.25">
      <c r="A66" s="15">
        <v>41684</v>
      </c>
      <c r="B66" s="15">
        <v>41698</v>
      </c>
      <c r="C66" s="15">
        <v>41711</v>
      </c>
      <c r="D66" s="13">
        <f t="shared" si="0"/>
        <v>592609.26500000001</v>
      </c>
      <c r="E66" s="13">
        <v>73529.078999999998</v>
      </c>
      <c r="F66" s="13">
        <v>55336.777000000002</v>
      </c>
      <c r="G66" s="13">
        <v>188974.66500000001</v>
      </c>
      <c r="H66" s="13">
        <v>22401.5</v>
      </c>
      <c r="I66" s="13">
        <v>12711.995000000001</v>
      </c>
      <c r="J66" s="13">
        <v>28126.402999999998</v>
      </c>
      <c r="K66" s="13">
        <v>117957.636</v>
      </c>
      <c r="L66" s="13">
        <v>22002.078000000001</v>
      </c>
      <c r="M66" s="13">
        <v>71569.131999999998</v>
      </c>
      <c r="N66" s="4"/>
      <c r="O66" s="4"/>
      <c r="P66" s="4"/>
    </row>
    <row r="67" spans="1:16" x14ac:dyDescent="0.25">
      <c r="A67" s="15">
        <v>41698</v>
      </c>
      <c r="B67" s="15">
        <v>41712</v>
      </c>
      <c r="C67" s="15">
        <v>41725</v>
      </c>
      <c r="D67" s="13">
        <f t="shared" ref="D67:D90" si="1">SUM(E67:P67)</f>
        <v>601676.46200000006</v>
      </c>
      <c r="E67" s="13">
        <v>72608.629000000001</v>
      </c>
      <c r="F67" s="13">
        <v>58856.038</v>
      </c>
      <c r="G67" s="13">
        <v>190649.60200000001</v>
      </c>
      <c r="H67" s="13">
        <v>22570.28</v>
      </c>
      <c r="I67" s="13">
        <v>13834.468000000001</v>
      </c>
      <c r="J67" s="13">
        <v>28479.613000000001</v>
      </c>
      <c r="K67" s="13">
        <v>120156.09299999999</v>
      </c>
      <c r="L67" s="13">
        <v>22361.93</v>
      </c>
      <c r="M67" s="13">
        <v>72159.808999999994</v>
      </c>
      <c r="N67" s="4"/>
      <c r="O67" s="4"/>
    </row>
    <row r="68" spans="1:16" x14ac:dyDescent="0.25">
      <c r="A68" s="15">
        <v>41712</v>
      </c>
      <c r="B68" s="15">
        <v>41726</v>
      </c>
      <c r="C68" s="15">
        <v>41739</v>
      </c>
      <c r="D68" s="13">
        <f t="shared" si="1"/>
        <v>606757.13</v>
      </c>
      <c r="E68" s="13">
        <v>74812.032999999996</v>
      </c>
      <c r="F68" s="13">
        <v>57271.928</v>
      </c>
      <c r="G68" s="13">
        <v>193066.79300000001</v>
      </c>
      <c r="H68" s="13">
        <v>22435.768</v>
      </c>
      <c r="I68" s="13">
        <v>14669.062</v>
      </c>
      <c r="J68" s="13">
        <v>28647.72</v>
      </c>
      <c r="K68" s="13">
        <v>120488.592</v>
      </c>
      <c r="L68" s="13">
        <v>22321.597000000002</v>
      </c>
      <c r="M68" s="13">
        <v>73043.637000000002</v>
      </c>
      <c r="N68" s="4"/>
      <c r="O68" s="4"/>
    </row>
    <row r="69" spans="1:16" x14ac:dyDescent="0.25">
      <c r="A69" s="15">
        <v>41726</v>
      </c>
      <c r="B69" s="15">
        <v>41740</v>
      </c>
      <c r="C69" s="15">
        <v>41753</v>
      </c>
      <c r="D69" s="13">
        <f t="shared" si="1"/>
        <v>607908.28900000011</v>
      </c>
      <c r="E69" s="13">
        <v>77909.457999999999</v>
      </c>
      <c r="F69" s="13">
        <v>61155.317999999999</v>
      </c>
      <c r="G69" s="13">
        <v>190027.26500000001</v>
      </c>
      <c r="H69" s="13">
        <v>21660.400000000001</v>
      </c>
      <c r="I69" s="13">
        <v>14765.276</v>
      </c>
      <c r="J69" s="13">
        <v>27878.557000000001</v>
      </c>
      <c r="K69" s="13">
        <v>121043.531</v>
      </c>
      <c r="L69" s="13">
        <v>22569.511999999999</v>
      </c>
      <c r="M69" s="13">
        <v>70898.971999999994</v>
      </c>
      <c r="N69" s="4"/>
      <c r="O69" s="4"/>
    </row>
    <row r="70" spans="1:16" x14ac:dyDescent="0.25">
      <c r="A70" s="15">
        <v>41740</v>
      </c>
      <c r="B70" s="15">
        <v>41754</v>
      </c>
      <c r="C70" s="15">
        <v>41767</v>
      </c>
      <c r="D70" s="13">
        <f t="shared" si="1"/>
        <v>585715.44900000002</v>
      </c>
      <c r="E70" s="13">
        <v>74268.928</v>
      </c>
      <c r="F70" s="13">
        <v>55566.957000000002</v>
      </c>
      <c r="G70" s="13">
        <v>188239.08900000001</v>
      </c>
      <c r="H70" s="13">
        <v>20537.014999999999</v>
      </c>
      <c r="I70" s="13">
        <v>14239.77</v>
      </c>
      <c r="J70" s="13">
        <v>26943.473000000002</v>
      </c>
      <c r="K70" s="13">
        <v>116037.791</v>
      </c>
      <c r="L70" s="13">
        <v>22126.883000000002</v>
      </c>
      <c r="M70" s="13">
        <v>67755.543000000005</v>
      </c>
      <c r="N70" s="4"/>
      <c r="O70" s="4"/>
    </row>
    <row r="71" spans="1:16" x14ac:dyDescent="0.25">
      <c r="A71" s="15">
        <v>41754</v>
      </c>
      <c r="B71" s="15">
        <v>41768</v>
      </c>
      <c r="C71" s="15">
        <v>41781</v>
      </c>
      <c r="D71" s="13">
        <f t="shared" si="1"/>
        <v>603434.51</v>
      </c>
      <c r="E71" s="13">
        <v>76735.023000000001</v>
      </c>
      <c r="F71" s="13">
        <v>59390.96</v>
      </c>
      <c r="G71" s="13">
        <v>189125.802</v>
      </c>
      <c r="H71" s="13">
        <v>21163.539000000001</v>
      </c>
      <c r="I71" s="13">
        <v>14476.953</v>
      </c>
      <c r="J71" s="13">
        <v>27403.78</v>
      </c>
      <c r="K71" s="13">
        <v>119317.66</v>
      </c>
      <c r="L71" s="13">
        <v>22838.121999999999</v>
      </c>
      <c r="M71" s="13">
        <v>72982.671000000002</v>
      </c>
      <c r="N71" s="4"/>
      <c r="O71" s="4"/>
    </row>
    <row r="72" spans="1:16" x14ac:dyDescent="0.25">
      <c r="A72" s="15">
        <v>41768</v>
      </c>
      <c r="B72" s="15">
        <v>41782</v>
      </c>
      <c r="C72" s="15">
        <v>41795</v>
      </c>
      <c r="D72" s="13">
        <f t="shared" si="1"/>
        <v>589947.147</v>
      </c>
      <c r="E72" s="13">
        <v>74619.850999999995</v>
      </c>
      <c r="F72" s="13">
        <v>58036.76</v>
      </c>
      <c r="G72" s="13">
        <v>181582.842</v>
      </c>
      <c r="H72" s="13">
        <v>21619.319</v>
      </c>
      <c r="I72" s="13">
        <v>13976.806</v>
      </c>
      <c r="J72" s="13">
        <v>26848.151000000002</v>
      </c>
      <c r="K72" s="13">
        <v>119656.94100000001</v>
      </c>
      <c r="L72" s="13">
        <v>21324.587</v>
      </c>
      <c r="M72" s="13">
        <v>72281.89</v>
      </c>
      <c r="N72" s="4"/>
      <c r="O72" s="4"/>
    </row>
    <row r="73" spans="1:16" x14ac:dyDescent="0.25">
      <c r="A73" s="15">
        <v>41782</v>
      </c>
      <c r="B73" s="15">
        <v>41796</v>
      </c>
      <c r="C73" s="15">
        <v>41809</v>
      </c>
      <c r="D73" s="13">
        <f t="shared" si="1"/>
        <v>597943.91</v>
      </c>
      <c r="E73" s="13">
        <v>74886.148000000001</v>
      </c>
      <c r="F73" s="13">
        <v>59000.038</v>
      </c>
      <c r="G73" s="13">
        <v>182623.734</v>
      </c>
      <c r="H73" s="13">
        <v>22275.690999999999</v>
      </c>
      <c r="I73" s="13">
        <v>13954.028</v>
      </c>
      <c r="J73" s="13">
        <v>26759.694</v>
      </c>
      <c r="K73" s="13">
        <v>120735.088</v>
      </c>
      <c r="L73" s="13">
        <v>24381.128000000001</v>
      </c>
      <c r="M73" s="13">
        <v>73328.361000000004</v>
      </c>
      <c r="N73" s="4"/>
      <c r="O73" s="4"/>
    </row>
    <row r="74" spans="1:16" x14ac:dyDescent="0.25">
      <c r="A74" s="15">
        <v>41796</v>
      </c>
      <c r="B74" s="15">
        <v>41810</v>
      </c>
      <c r="C74" s="15">
        <v>41823</v>
      </c>
      <c r="D74" s="13">
        <f t="shared" si="1"/>
        <v>597715.679</v>
      </c>
      <c r="E74" s="13">
        <v>74895.78</v>
      </c>
      <c r="F74" s="13">
        <v>58445.107000000004</v>
      </c>
      <c r="G74" s="13">
        <v>183160.34899999999</v>
      </c>
      <c r="H74" s="13">
        <v>22149.079000000002</v>
      </c>
      <c r="I74" s="13">
        <v>12815.944</v>
      </c>
      <c r="J74" s="13">
        <v>26726.710999999999</v>
      </c>
      <c r="K74" s="13">
        <v>123388.442</v>
      </c>
      <c r="L74" s="13">
        <v>21469.237000000001</v>
      </c>
      <c r="M74" s="13">
        <v>74665.03</v>
      </c>
      <c r="N74" s="4"/>
      <c r="O74" s="4"/>
    </row>
    <row r="75" spans="1:16" x14ac:dyDescent="0.25">
      <c r="A75" s="15">
        <v>41810</v>
      </c>
      <c r="B75" s="15">
        <v>41824</v>
      </c>
      <c r="C75" s="15">
        <v>41837</v>
      </c>
      <c r="D75" s="13">
        <f t="shared" si="1"/>
        <v>599722.28600000008</v>
      </c>
      <c r="E75" s="13">
        <v>75547.148000000001</v>
      </c>
      <c r="F75" s="13">
        <v>59973.957999999999</v>
      </c>
      <c r="G75" s="13">
        <v>180955.09299999999</v>
      </c>
      <c r="H75" s="13">
        <v>22491.008000000002</v>
      </c>
      <c r="I75" s="13">
        <v>13087.967000000001</v>
      </c>
      <c r="J75" s="13">
        <v>27124.659</v>
      </c>
      <c r="K75" s="13">
        <v>122881.69</v>
      </c>
      <c r="L75" s="13">
        <v>20548.763999999999</v>
      </c>
      <c r="M75" s="13">
        <v>77111.998999999996</v>
      </c>
      <c r="N75" s="4"/>
      <c r="O75" s="4"/>
    </row>
    <row r="76" spans="1:16" x14ac:dyDescent="0.25">
      <c r="A76" s="15">
        <v>41824</v>
      </c>
      <c r="B76" s="15">
        <v>41838</v>
      </c>
      <c r="C76" s="15">
        <v>41851</v>
      </c>
      <c r="D76" s="13">
        <f t="shared" si="1"/>
        <v>594353.9</v>
      </c>
      <c r="E76" s="13">
        <v>74405.334000000003</v>
      </c>
      <c r="F76" s="13">
        <v>55764.987999999998</v>
      </c>
      <c r="G76" s="13">
        <v>173262.95499999999</v>
      </c>
      <c r="H76" s="13">
        <v>23732.223999999998</v>
      </c>
      <c r="I76" s="13">
        <v>12597.477999999999</v>
      </c>
      <c r="J76" s="13">
        <v>27181.328000000001</v>
      </c>
      <c r="K76" s="13">
        <v>122601.076</v>
      </c>
      <c r="L76" s="13">
        <v>20796.758999999998</v>
      </c>
      <c r="M76" s="13">
        <v>84011.758000000002</v>
      </c>
      <c r="N76" s="4"/>
      <c r="O76" s="4"/>
    </row>
    <row r="77" spans="1:16" x14ac:dyDescent="0.25">
      <c r="A77" s="15">
        <v>41838</v>
      </c>
      <c r="B77" s="15">
        <v>41852</v>
      </c>
      <c r="C77" s="15">
        <v>41865</v>
      </c>
      <c r="D77" s="13">
        <f t="shared" si="1"/>
        <v>595927.98699999996</v>
      </c>
      <c r="E77" s="13">
        <v>76267.065000000002</v>
      </c>
      <c r="F77" s="13">
        <v>58032.720999999998</v>
      </c>
      <c r="G77" s="13">
        <v>171659.826</v>
      </c>
      <c r="H77" s="13">
        <v>24959.254000000001</v>
      </c>
      <c r="I77" s="13">
        <v>12462.486000000001</v>
      </c>
      <c r="J77" s="13">
        <v>27389.373</v>
      </c>
      <c r="K77" s="13">
        <v>118068.163</v>
      </c>
      <c r="L77" s="13">
        <v>20632.544999999998</v>
      </c>
      <c r="M77" s="13">
        <v>86456.554000000004</v>
      </c>
      <c r="N77" s="4"/>
      <c r="O77" s="4"/>
    </row>
    <row r="78" spans="1:16" x14ac:dyDescent="0.25">
      <c r="A78" s="15">
        <v>41852</v>
      </c>
      <c r="B78" s="15">
        <v>41866</v>
      </c>
      <c r="C78" s="15">
        <v>41879</v>
      </c>
      <c r="D78" s="13">
        <f t="shared" si="1"/>
        <v>606842.89</v>
      </c>
      <c r="E78" s="13">
        <v>77465.043000000005</v>
      </c>
      <c r="F78" s="13">
        <v>57287.77</v>
      </c>
      <c r="G78" s="13">
        <v>178134.78400000001</v>
      </c>
      <c r="H78" s="13">
        <v>25671.922999999999</v>
      </c>
      <c r="I78" s="13">
        <v>12166.86</v>
      </c>
      <c r="J78" s="13">
        <v>27350.231</v>
      </c>
      <c r="K78" s="13">
        <v>120949.014</v>
      </c>
      <c r="L78" s="13">
        <v>20851.231</v>
      </c>
      <c r="M78" s="13">
        <v>86966.034</v>
      </c>
      <c r="N78" s="4"/>
      <c r="O78" s="4"/>
    </row>
    <row r="79" spans="1:16" x14ac:dyDescent="0.25">
      <c r="A79" s="15">
        <v>41866</v>
      </c>
      <c r="B79" s="15">
        <v>41880</v>
      </c>
      <c r="C79" s="15">
        <v>41893</v>
      </c>
      <c r="D79" s="13">
        <f t="shared" si="1"/>
        <v>620712.24699999997</v>
      </c>
      <c r="E79" s="13">
        <v>76788.620999999999</v>
      </c>
      <c r="F79" s="13">
        <v>57184.961000000003</v>
      </c>
      <c r="G79" s="13">
        <v>185164.747</v>
      </c>
      <c r="H79" s="13">
        <v>26496.477999999999</v>
      </c>
      <c r="I79" s="13">
        <v>12155.65</v>
      </c>
      <c r="J79" s="13">
        <v>28143.89</v>
      </c>
      <c r="K79" s="13">
        <v>125947.817</v>
      </c>
      <c r="L79" s="13">
        <v>20911.694</v>
      </c>
      <c r="M79" s="13">
        <v>87918.388999999996</v>
      </c>
      <c r="N79" s="4"/>
      <c r="O79" s="4"/>
    </row>
    <row r="80" spans="1:16" x14ac:dyDescent="0.25">
      <c r="A80" s="15">
        <v>41880</v>
      </c>
      <c r="B80" s="15">
        <v>41894</v>
      </c>
      <c r="C80" s="15">
        <v>41907</v>
      </c>
      <c r="D80" s="13">
        <f t="shared" si="1"/>
        <v>622624.63899999997</v>
      </c>
      <c r="E80" s="13">
        <v>74695.880999999994</v>
      </c>
      <c r="F80" s="13">
        <v>57930.053999999996</v>
      </c>
      <c r="G80" s="13">
        <v>188437.799</v>
      </c>
      <c r="H80" s="13">
        <v>27502.295999999998</v>
      </c>
      <c r="I80" s="13">
        <v>11811.034</v>
      </c>
      <c r="J80" s="13">
        <v>28267.155999999999</v>
      </c>
      <c r="K80" s="13">
        <v>124296.97900000001</v>
      </c>
      <c r="L80" s="13">
        <v>20764.232</v>
      </c>
      <c r="M80" s="13">
        <v>88919.207999999999</v>
      </c>
      <c r="N80" s="4"/>
      <c r="O80" s="4"/>
    </row>
    <row r="81" spans="1:15" x14ac:dyDescent="0.25">
      <c r="A81" s="15">
        <v>41894</v>
      </c>
      <c r="B81" s="15">
        <v>41908</v>
      </c>
      <c r="C81" s="15">
        <v>41921</v>
      </c>
      <c r="D81" s="13">
        <f t="shared" si="1"/>
        <v>627258.85800000001</v>
      </c>
      <c r="E81" s="13">
        <v>76626.634999999995</v>
      </c>
      <c r="F81" s="13">
        <v>56347.955000000002</v>
      </c>
      <c r="G81" s="13">
        <v>190114.43100000001</v>
      </c>
      <c r="H81" s="13">
        <v>27238.923999999999</v>
      </c>
      <c r="I81" s="13">
        <v>11570.478999999999</v>
      </c>
      <c r="J81" s="13">
        <v>28360.643</v>
      </c>
      <c r="K81" s="13">
        <v>125101.63499999999</v>
      </c>
      <c r="L81" s="13">
        <v>20972.248</v>
      </c>
      <c r="M81" s="13">
        <v>90925.907999999996</v>
      </c>
      <c r="N81" s="4"/>
      <c r="O81" s="4"/>
    </row>
    <row r="82" spans="1:15" x14ac:dyDescent="0.25">
      <c r="A82" s="15">
        <v>41908</v>
      </c>
      <c r="B82" s="15">
        <v>41922</v>
      </c>
      <c r="C82" s="15">
        <v>41935</v>
      </c>
      <c r="D82" s="13">
        <f t="shared" si="1"/>
        <v>648596.90700000001</v>
      </c>
      <c r="E82" s="13">
        <v>78072.733999999997</v>
      </c>
      <c r="F82" s="13">
        <v>59463.767999999996</v>
      </c>
      <c r="G82" s="13">
        <v>192006.84400000001</v>
      </c>
      <c r="H82" s="13">
        <v>29098.585999999999</v>
      </c>
      <c r="I82" s="13">
        <v>11797.72</v>
      </c>
      <c r="J82" s="13">
        <v>28959.792000000001</v>
      </c>
      <c r="K82" s="13">
        <v>134058.549</v>
      </c>
      <c r="L82" s="13">
        <v>22041.583999999999</v>
      </c>
      <c r="M82" s="13">
        <v>93097.33</v>
      </c>
      <c r="N82" s="4"/>
      <c r="O82" s="4"/>
    </row>
    <row r="83" spans="1:15" x14ac:dyDescent="0.25">
      <c r="A83" s="15">
        <v>41922</v>
      </c>
      <c r="B83" s="15">
        <v>41936</v>
      </c>
      <c r="C83" s="15">
        <v>41949</v>
      </c>
      <c r="D83" s="13">
        <f t="shared" si="1"/>
        <v>656837.23200000008</v>
      </c>
      <c r="E83" s="13">
        <v>80689.303</v>
      </c>
      <c r="F83" s="13">
        <v>60074.838000000003</v>
      </c>
      <c r="G83" s="13">
        <v>192258.26699999999</v>
      </c>
      <c r="H83" s="13">
        <v>29049.337</v>
      </c>
      <c r="I83" s="13">
        <v>11941.444</v>
      </c>
      <c r="J83" s="13">
        <v>29039.401999999998</v>
      </c>
      <c r="K83" s="13">
        <v>136999.18599999999</v>
      </c>
      <c r="L83" s="13">
        <v>22040.841</v>
      </c>
      <c r="M83" s="13">
        <v>94744.614000000001</v>
      </c>
      <c r="N83" s="4"/>
      <c r="O83" s="4"/>
    </row>
    <row r="84" spans="1:15" x14ac:dyDescent="0.25">
      <c r="A84" s="15">
        <v>41936</v>
      </c>
      <c r="B84" s="15">
        <v>41950</v>
      </c>
      <c r="C84" s="15">
        <v>41963</v>
      </c>
      <c r="D84" s="13">
        <f t="shared" si="1"/>
        <v>660630.353</v>
      </c>
      <c r="E84" s="13">
        <v>81189.885999999999</v>
      </c>
      <c r="F84" s="13">
        <v>63562.559999999998</v>
      </c>
      <c r="G84" s="13">
        <v>193719.58600000001</v>
      </c>
      <c r="H84" s="13">
        <v>27516.289000000001</v>
      </c>
      <c r="I84" s="13">
        <v>11548.534</v>
      </c>
      <c r="J84" s="13">
        <v>28659.918000000001</v>
      </c>
      <c r="K84" s="13">
        <v>136265.685</v>
      </c>
      <c r="L84" s="13">
        <v>22287.738000000001</v>
      </c>
      <c r="M84" s="13">
        <v>95880.157000000007</v>
      </c>
      <c r="N84" s="4"/>
      <c r="O84" s="4"/>
    </row>
    <row r="85" spans="1:15" x14ac:dyDescent="0.25">
      <c r="A85" s="15">
        <v>41950</v>
      </c>
      <c r="B85" s="15">
        <v>41964</v>
      </c>
      <c r="C85" s="15">
        <v>41977</v>
      </c>
      <c r="D85" s="13">
        <f t="shared" si="1"/>
        <v>667681.01199999999</v>
      </c>
      <c r="E85" s="13">
        <v>83450.226999999999</v>
      </c>
      <c r="F85" s="13">
        <v>65674.422000000006</v>
      </c>
      <c r="G85" s="13">
        <v>196322.239</v>
      </c>
      <c r="H85" s="13">
        <v>25988.892</v>
      </c>
      <c r="I85" s="13">
        <v>11209.584000000001</v>
      </c>
      <c r="J85" s="13">
        <v>28503.386999999999</v>
      </c>
      <c r="K85" s="13">
        <v>136563.51300000001</v>
      </c>
      <c r="L85" s="13">
        <v>22191.100999999999</v>
      </c>
      <c r="M85" s="13">
        <v>97777.646999999997</v>
      </c>
      <c r="N85" s="4"/>
      <c r="O85" s="4"/>
    </row>
    <row r="86" spans="1:15" x14ac:dyDescent="0.25">
      <c r="A86" s="15">
        <v>41964</v>
      </c>
      <c r="B86" s="15">
        <v>41978</v>
      </c>
      <c r="C86" s="15">
        <v>41991</v>
      </c>
      <c r="D86" s="13">
        <f t="shared" si="1"/>
        <v>666930.47200000007</v>
      </c>
      <c r="E86" s="13">
        <v>83952.557000000001</v>
      </c>
      <c r="F86" s="13">
        <v>64249.559000000001</v>
      </c>
      <c r="G86" s="13">
        <v>194904.19</v>
      </c>
      <c r="H86" s="13">
        <v>24926.374</v>
      </c>
      <c r="I86" s="13">
        <v>11232.424999999999</v>
      </c>
      <c r="J86" s="13">
        <v>28446.763999999999</v>
      </c>
      <c r="K86" s="13">
        <v>139583.18</v>
      </c>
      <c r="L86" s="13">
        <v>22200.458999999999</v>
      </c>
      <c r="M86" s="13">
        <v>97434.964000000007</v>
      </c>
      <c r="N86" s="4"/>
      <c r="O86" s="4"/>
    </row>
    <row r="87" spans="1:15" x14ac:dyDescent="0.25">
      <c r="A87" s="15">
        <v>41978</v>
      </c>
      <c r="B87" s="15">
        <v>41992</v>
      </c>
      <c r="C87" s="15">
        <v>42005</v>
      </c>
      <c r="D87" s="13">
        <f t="shared" si="1"/>
        <v>651718.44300000009</v>
      </c>
      <c r="E87" s="13">
        <v>81976.807000000001</v>
      </c>
      <c r="F87" s="13">
        <v>63391.144999999997</v>
      </c>
      <c r="G87" s="13">
        <v>188841.337</v>
      </c>
      <c r="H87" s="13">
        <v>23443.56</v>
      </c>
      <c r="I87" s="13">
        <v>10980.365</v>
      </c>
      <c r="J87" s="13">
        <v>28129.793000000001</v>
      </c>
      <c r="K87" s="13">
        <v>134661.11600000001</v>
      </c>
      <c r="L87" s="13">
        <v>22100.562000000002</v>
      </c>
      <c r="M87" s="13">
        <v>98193.758000000002</v>
      </c>
      <c r="N87" s="4"/>
      <c r="O87" s="4"/>
    </row>
    <row r="88" spans="1:15" x14ac:dyDescent="0.25">
      <c r="A88" s="15">
        <v>41992</v>
      </c>
      <c r="B88" s="15">
        <v>42006</v>
      </c>
      <c r="C88" s="15">
        <v>42019</v>
      </c>
      <c r="D88" s="13">
        <f t="shared" si="1"/>
        <v>663675.59799999988</v>
      </c>
      <c r="E88" s="13">
        <v>82158.267999999996</v>
      </c>
      <c r="F88" s="13">
        <v>63429.353000000003</v>
      </c>
      <c r="G88" s="13">
        <v>188193.06700000001</v>
      </c>
      <c r="H88" s="13">
        <v>23173.937000000002</v>
      </c>
      <c r="I88" s="13">
        <v>11351.188</v>
      </c>
      <c r="J88" s="13">
        <v>29115.411</v>
      </c>
      <c r="K88" s="13">
        <v>137938.356</v>
      </c>
      <c r="L88" s="13">
        <v>23201.101999999999</v>
      </c>
      <c r="M88" s="13">
        <v>105114.916</v>
      </c>
      <c r="N88" s="4"/>
      <c r="O88" s="4"/>
    </row>
    <row r="89" spans="1:15" x14ac:dyDescent="0.25">
      <c r="A89" s="15">
        <v>42006</v>
      </c>
      <c r="B89" s="15">
        <v>42020</v>
      </c>
      <c r="C89" s="15">
        <v>42033</v>
      </c>
      <c r="D89" s="13">
        <f t="shared" si="1"/>
        <v>658297.01700000011</v>
      </c>
      <c r="E89" s="13">
        <v>82237.168000000005</v>
      </c>
      <c r="F89" s="13">
        <v>61680.936000000002</v>
      </c>
      <c r="G89" s="13">
        <v>184715.73199999999</v>
      </c>
      <c r="H89" s="13">
        <v>21742.405999999999</v>
      </c>
      <c r="I89" s="13">
        <v>10791.455</v>
      </c>
      <c r="J89" s="13">
        <v>28860.506000000001</v>
      </c>
      <c r="K89" s="13">
        <v>137801.73199999999</v>
      </c>
      <c r="L89" s="13">
        <v>23918.867999999999</v>
      </c>
      <c r="M89" s="13">
        <v>106548.21400000001</v>
      </c>
      <c r="N89" s="4"/>
      <c r="O89" s="4"/>
    </row>
    <row r="90" spans="1:15" x14ac:dyDescent="0.25">
      <c r="A90" s="15">
        <v>42020</v>
      </c>
      <c r="B90" s="15">
        <v>42034</v>
      </c>
      <c r="C90" s="15">
        <v>42047</v>
      </c>
      <c r="D90" s="13">
        <f t="shared" si="1"/>
        <v>656396.48200000008</v>
      </c>
      <c r="E90" s="13">
        <v>80557.978000000003</v>
      </c>
      <c r="F90" s="13">
        <v>61339.072999999997</v>
      </c>
      <c r="G90" s="13">
        <v>188057.261</v>
      </c>
      <c r="H90" s="13">
        <v>19368.379000000001</v>
      </c>
      <c r="I90" s="13">
        <v>10410.526</v>
      </c>
      <c r="J90" s="13">
        <v>27477.454000000002</v>
      </c>
      <c r="K90" s="13">
        <v>141837.00599999999</v>
      </c>
      <c r="L90" s="13">
        <v>23201.33</v>
      </c>
      <c r="M90" s="13">
        <v>104147.47500000001</v>
      </c>
      <c r="N90" s="4"/>
      <c r="O90" s="4"/>
    </row>
    <row r="91" spans="1:15" x14ac:dyDescent="0.25">
      <c r="A91" s="17">
        <v>42034</v>
      </c>
      <c r="B91" s="17">
        <v>42048</v>
      </c>
      <c r="C91" s="17">
        <v>42061</v>
      </c>
      <c r="D91" s="18">
        <f t="shared" ref="D91" si="2">SUM(E91:P91)</f>
        <v>677222.39199999999</v>
      </c>
      <c r="E91" s="18">
        <v>81068.892000000007</v>
      </c>
      <c r="F91" s="18">
        <v>57271.868999999999</v>
      </c>
      <c r="G91" s="18">
        <v>195652.734</v>
      </c>
      <c r="H91" s="18">
        <v>19511.115000000002</v>
      </c>
      <c r="I91" s="18">
        <v>10695.61</v>
      </c>
      <c r="J91" s="18">
        <v>28186.948</v>
      </c>
      <c r="K91" s="18">
        <v>148472.13</v>
      </c>
      <c r="L91" s="18">
        <v>24998.156999999999</v>
      </c>
      <c r="M91" s="18">
        <v>111364.93700000001</v>
      </c>
      <c r="N91" s="4"/>
      <c r="O91" s="4"/>
    </row>
    <row r="92" spans="1:15" x14ac:dyDescent="0.25">
      <c r="A92" s="5"/>
      <c r="B92" s="5"/>
      <c r="C92" s="5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4"/>
      <c r="O92" s="4"/>
    </row>
    <row r="93" spans="1:15" s="2" customFormat="1" ht="75.75" customHeight="1" x14ac:dyDescent="0.25">
      <c r="A93" s="27" t="s">
        <v>9</v>
      </c>
      <c r="B93" s="28" t="s">
        <v>40</v>
      </c>
      <c r="C93" s="28" t="s">
        <v>41</v>
      </c>
      <c r="D93" s="28" t="s">
        <v>6</v>
      </c>
      <c r="E93" s="28" t="s">
        <v>16</v>
      </c>
      <c r="F93" s="28" t="s">
        <v>2</v>
      </c>
      <c r="G93" s="28" t="s">
        <v>3</v>
      </c>
      <c r="H93" s="28" t="s">
        <v>4</v>
      </c>
      <c r="I93" s="28" t="s">
        <v>1</v>
      </c>
      <c r="J93" s="28" t="s">
        <v>5</v>
      </c>
      <c r="K93" s="28" t="s">
        <v>7</v>
      </c>
      <c r="L93" s="28" t="s">
        <v>28</v>
      </c>
      <c r="M93" s="28" t="s">
        <v>8</v>
      </c>
      <c r="N93" s="28" t="s">
        <v>11</v>
      </c>
      <c r="O93" s="29" t="s">
        <v>12</v>
      </c>
    </row>
    <row r="94" spans="1:15" x14ac:dyDescent="0.25">
      <c r="A94" s="16">
        <v>42048</v>
      </c>
      <c r="B94" s="15">
        <v>42062</v>
      </c>
      <c r="C94" s="15">
        <v>42075</v>
      </c>
      <c r="D94" s="12">
        <f t="shared" ref="D94:D118" si="3">SUM(E94:P94)</f>
        <v>706031.94299999997</v>
      </c>
      <c r="E94" s="12">
        <v>79663.312999999995</v>
      </c>
      <c r="F94" s="12">
        <v>59195.442000000003</v>
      </c>
      <c r="G94" s="12">
        <v>212048.245</v>
      </c>
      <c r="H94" s="12">
        <v>20351.626</v>
      </c>
      <c r="I94" s="12">
        <v>11089.308000000001</v>
      </c>
      <c r="J94" s="12">
        <v>29124.055</v>
      </c>
      <c r="K94" s="12">
        <v>149679.04999999999</v>
      </c>
      <c r="L94" s="12">
        <v>18366.335999999999</v>
      </c>
      <c r="M94" s="12">
        <v>8009.61</v>
      </c>
      <c r="N94" s="12">
        <v>20035.179</v>
      </c>
      <c r="O94" s="12">
        <v>98469.778999999995</v>
      </c>
    </row>
    <row r="95" spans="1:15" x14ac:dyDescent="0.25">
      <c r="A95" s="16">
        <v>42062</v>
      </c>
      <c r="B95" s="15">
        <v>42076</v>
      </c>
      <c r="C95" s="15">
        <v>42089</v>
      </c>
      <c r="D95" s="13">
        <f t="shared" si="3"/>
        <v>711008.66900000011</v>
      </c>
      <c r="E95" s="13">
        <v>78662.024000000005</v>
      </c>
      <c r="F95" s="13">
        <v>60834.428999999996</v>
      </c>
      <c r="G95" s="13">
        <v>215382.46799999999</v>
      </c>
      <c r="H95" s="13">
        <v>20507.030999999999</v>
      </c>
      <c r="I95" s="13">
        <v>11871.662</v>
      </c>
      <c r="J95" s="13">
        <v>29180.350999999999</v>
      </c>
      <c r="K95" s="13">
        <v>148847.64600000001</v>
      </c>
      <c r="L95" s="13">
        <v>19262.508000000002</v>
      </c>
      <c r="M95" s="13">
        <v>8348.6820000000007</v>
      </c>
      <c r="N95" s="13">
        <v>19688.848000000002</v>
      </c>
      <c r="O95" s="13">
        <v>98423.02</v>
      </c>
    </row>
    <row r="96" spans="1:15" x14ac:dyDescent="0.25">
      <c r="A96" s="16">
        <v>42076</v>
      </c>
      <c r="B96" s="15">
        <v>42090</v>
      </c>
      <c r="C96" s="15">
        <v>42103</v>
      </c>
      <c r="D96" s="13">
        <f t="shared" si="3"/>
        <v>733418.08</v>
      </c>
      <c r="E96" s="13">
        <v>81024.407999999996</v>
      </c>
      <c r="F96" s="13">
        <v>62926.303</v>
      </c>
      <c r="G96" s="13">
        <v>220651.416</v>
      </c>
      <c r="H96" s="13">
        <v>23781.344000000001</v>
      </c>
      <c r="I96" s="13">
        <v>12376.562</v>
      </c>
      <c r="J96" s="13">
        <v>29031.638999999999</v>
      </c>
      <c r="K96" s="13">
        <v>150441.264</v>
      </c>
      <c r="L96" s="13">
        <v>20709.665000000001</v>
      </c>
      <c r="M96" s="13">
        <v>9010.5849999999991</v>
      </c>
      <c r="N96" s="13">
        <v>19975.482</v>
      </c>
      <c r="O96" s="13">
        <v>103489.412</v>
      </c>
    </row>
    <row r="97" spans="1:15" x14ac:dyDescent="0.25">
      <c r="A97" s="16">
        <v>42090</v>
      </c>
      <c r="B97" s="15">
        <v>42104</v>
      </c>
      <c r="C97" s="15">
        <v>42117</v>
      </c>
      <c r="D97" s="13">
        <f t="shared" si="3"/>
        <v>751737.48100000015</v>
      </c>
      <c r="E97" s="13">
        <v>86886.244999999995</v>
      </c>
      <c r="F97" s="13">
        <v>68909.585000000006</v>
      </c>
      <c r="G97" s="13">
        <v>222265.09700000001</v>
      </c>
      <c r="H97" s="13">
        <v>24952.491999999998</v>
      </c>
      <c r="I97" s="13">
        <v>12882.933000000001</v>
      </c>
      <c r="J97" s="13">
        <v>29956.137999999999</v>
      </c>
      <c r="K97" s="13">
        <v>147791.91800000001</v>
      </c>
      <c r="L97" s="13">
        <v>24375.276999999998</v>
      </c>
      <c r="M97" s="13">
        <v>9270.81</v>
      </c>
      <c r="N97" s="13">
        <v>20174.291000000001</v>
      </c>
      <c r="O97" s="13">
        <v>104272.69500000001</v>
      </c>
    </row>
    <row r="98" spans="1:15" x14ac:dyDescent="0.25">
      <c r="A98" s="16">
        <v>42104</v>
      </c>
      <c r="B98" s="15">
        <v>42118</v>
      </c>
      <c r="C98" s="15">
        <v>42131</v>
      </c>
      <c r="D98" s="13">
        <f t="shared" si="3"/>
        <v>750225.10300000012</v>
      </c>
      <c r="E98" s="13">
        <v>83669.490999999995</v>
      </c>
      <c r="F98" s="13">
        <v>69426.303</v>
      </c>
      <c r="G98" s="13">
        <v>223766.45699999999</v>
      </c>
      <c r="H98" s="13">
        <v>24402.767</v>
      </c>
      <c r="I98" s="13">
        <v>12525.196</v>
      </c>
      <c r="J98" s="13">
        <v>29335.775000000001</v>
      </c>
      <c r="K98" s="13">
        <v>142274.791</v>
      </c>
      <c r="L98" s="13">
        <v>29050.120999999999</v>
      </c>
      <c r="M98" s="13">
        <v>10177.415999999999</v>
      </c>
      <c r="N98" s="13">
        <v>21383.91</v>
      </c>
      <c r="O98" s="13">
        <v>104212.876</v>
      </c>
    </row>
    <row r="99" spans="1:15" x14ac:dyDescent="0.25">
      <c r="A99" s="16">
        <v>42118</v>
      </c>
      <c r="B99" s="15">
        <v>42132</v>
      </c>
      <c r="C99" s="15">
        <v>42145</v>
      </c>
      <c r="D99" s="13">
        <f t="shared" si="3"/>
        <v>778178.97</v>
      </c>
      <c r="E99" s="13">
        <v>86807.877999999997</v>
      </c>
      <c r="F99" s="13">
        <v>68042.464000000007</v>
      </c>
      <c r="G99" s="13">
        <v>233129.32800000001</v>
      </c>
      <c r="H99" s="13">
        <v>25771.773000000001</v>
      </c>
      <c r="I99" s="13">
        <v>13048.216</v>
      </c>
      <c r="J99" s="13">
        <v>30305.881000000001</v>
      </c>
      <c r="K99" s="13">
        <v>143658.52499999999</v>
      </c>
      <c r="L99" s="13">
        <v>33330.298000000003</v>
      </c>
      <c r="M99" s="13">
        <v>12559.561</v>
      </c>
      <c r="N99" s="13">
        <v>24280.627</v>
      </c>
      <c r="O99" s="13">
        <v>107244.41899999999</v>
      </c>
    </row>
    <row r="100" spans="1:15" x14ac:dyDescent="0.25">
      <c r="A100" s="16">
        <v>42132</v>
      </c>
      <c r="B100" s="15">
        <v>42146</v>
      </c>
      <c r="C100" s="15">
        <v>42159</v>
      </c>
      <c r="D100" s="13">
        <f t="shared" si="3"/>
        <v>802679.72200000007</v>
      </c>
      <c r="E100" s="13">
        <v>90946.423999999999</v>
      </c>
      <c r="F100" s="13">
        <v>75865.123999999996</v>
      </c>
      <c r="G100" s="13">
        <v>239047.39</v>
      </c>
      <c r="H100" s="13">
        <v>27334.215</v>
      </c>
      <c r="I100" s="13">
        <v>13806.081</v>
      </c>
      <c r="J100" s="13">
        <v>31094.213000000003</v>
      </c>
      <c r="K100" s="13">
        <v>139654.78899999999</v>
      </c>
      <c r="L100" s="13">
        <v>38655.027999999998</v>
      </c>
      <c r="M100" s="13">
        <v>12722.767</v>
      </c>
      <c r="N100" s="13">
        <v>24697.883000000002</v>
      </c>
      <c r="O100" s="13">
        <v>108855.808</v>
      </c>
    </row>
    <row r="101" spans="1:15" x14ac:dyDescent="0.25">
      <c r="A101" s="16">
        <v>42146</v>
      </c>
      <c r="B101" s="15">
        <v>42160</v>
      </c>
      <c r="C101" s="15">
        <v>42173</v>
      </c>
      <c r="D101" s="13">
        <f t="shared" si="3"/>
        <v>775226.87300000014</v>
      </c>
      <c r="E101" s="13">
        <v>90912.364000000001</v>
      </c>
      <c r="F101" s="13">
        <v>73046.430999999997</v>
      </c>
      <c r="G101" s="13">
        <v>232079.625</v>
      </c>
      <c r="H101" s="13">
        <v>25840.624</v>
      </c>
      <c r="I101" s="13">
        <v>13253.922</v>
      </c>
      <c r="J101" s="13">
        <v>28488.669000000002</v>
      </c>
      <c r="K101" s="13">
        <v>128237.79300000001</v>
      </c>
      <c r="L101" s="13">
        <v>45047.351000000002</v>
      </c>
      <c r="M101" s="13">
        <v>12170.977000000001</v>
      </c>
      <c r="N101" s="13">
        <v>21281.214</v>
      </c>
      <c r="O101" s="13">
        <v>104867.90300000001</v>
      </c>
    </row>
    <row r="102" spans="1:15" x14ac:dyDescent="0.25">
      <c r="A102" s="16">
        <v>42160</v>
      </c>
      <c r="B102" s="15">
        <v>42174</v>
      </c>
      <c r="C102" s="15">
        <v>42187</v>
      </c>
      <c r="D102" s="13">
        <f t="shared" si="3"/>
        <v>818698.16700000013</v>
      </c>
      <c r="E102" s="13">
        <v>98636.748999999996</v>
      </c>
      <c r="F102" s="13">
        <v>77891.039000000004</v>
      </c>
      <c r="G102" s="13">
        <v>249877.27100000001</v>
      </c>
      <c r="H102" s="13">
        <v>28808.222000000002</v>
      </c>
      <c r="I102" s="13">
        <v>15125.473</v>
      </c>
      <c r="J102" s="13">
        <v>31480.880000000001</v>
      </c>
      <c r="K102" s="13">
        <v>125829.554</v>
      </c>
      <c r="L102" s="13">
        <v>46872.796000000002</v>
      </c>
      <c r="M102" s="13">
        <v>13271.157999999999</v>
      </c>
      <c r="N102" s="13">
        <v>22452.969000000001</v>
      </c>
      <c r="O102" s="13">
        <v>108452.056</v>
      </c>
    </row>
    <row r="103" spans="1:15" x14ac:dyDescent="0.25">
      <c r="A103" s="16">
        <v>42174</v>
      </c>
      <c r="B103" s="15">
        <v>42188</v>
      </c>
      <c r="C103" s="15">
        <v>42201</v>
      </c>
      <c r="D103" s="13">
        <f t="shared" si="3"/>
        <v>845013.76699999999</v>
      </c>
      <c r="E103" s="13">
        <v>102514.55100000001</v>
      </c>
      <c r="F103" s="13">
        <v>85616.434999999998</v>
      </c>
      <c r="G103" s="13">
        <v>254316.51300000001</v>
      </c>
      <c r="H103" s="13">
        <v>32149.464</v>
      </c>
      <c r="I103" s="13">
        <v>16405.137999999999</v>
      </c>
      <c r="J103" s="13">
        <v>31701.05</v>
      </c>
      <c r="K103" s="13">
        <v>129357.43399999999</v>
      </c>
      <c r="L103" s="13">
        <v>48440.76</v>
      </c>
      <c r="M103" s="13">
        <v>13359.128000000001</v>
      </c>
      <c r="N103" s="13">
        <v>21628.191999999999</v>
      </c>
      <c r="O103" s="13">
        <v>109525.102</v>
      </c>
    </row>
    <row r="104" spans="1:15" x14ac:dyDescent="0.25">
      <c r="A104" s="16">
        <v>42188</v>
      </c>
      <c r="B104" s="15">
        <v>42205</v>
      </c>
      <c r="C104" s="15">
        <v>42215</v>
      </c>
      <c r="D104" s="13">
        <f t="shared" si="3"/>
        <v>836376.50800000015</v>
      </c>
      <c r="E104" s="13">
        <v>100617.626</v>
      </c>
      <c r="F104" s="13">
        <v>83487.607000000004</v>
      </c>
      <c r="G104" s="13">
        <v>252879.09400000001</v>
      </c>
      <c r="H104" s="13">
        <v>34683.127</v>
      </c>
      <c r="I104" s="13">
        <v>18843.644</v>
      </c>
      <c r="J104" s="13">
        <v>31274.608</v>
      </c>
      <c r="K104" s="13">
        <v>122729.963</v>
      </c>
      <c r="L104" s="13">
        <v>49130.008000000002</v>
      </c>
      <c r="M104" s="13">
        <v>13874.593999999999</v>
      </c>
      <c r="N104" s="13">
        <v>21201.191999999999</v>
      </c>
      <c r="O104" s="13">
        <v>107655.045</v>
      </c>
    </row>
    <row r="105" spans="1:15" x14ac:dyDescent="0.25">
      <c r="A105" s="16">
        <v>42205</v>
      </c>
      <c r="B105" s="15">
        <v>42216</v>
      </c>
      <c r="C105" s="15">
        <v>42229</v>
      </c>
      <c r="D105" s="13">
        <f t="shared" si="3"/>
        <v>828375.22900000005</v>
      </c>
      <c r="E105" s="13">
        <v>101051.853</v>
      </c>
      <c r="F105" s="13">
        <v>82022.138999999996</v>
      </c>
      <c r="G105" s="13">
        <v>248312.50700000001</v>
      </c>
      <c r="H105" s="13">
        <v>36662.794999999998</v>
      </c>
      <c r="I105" s="13">
        <v>18887.402999999998</v>
      </c>
      <c r="J105" s="13">
        <v>31212.956999999999</v>
      </c>
      <c r="K105" s="13">
        <v>118128.601</v>
      </c>
      <c r="L105" s="13">
        <v>50620.875</v>
      </c>
      <c r="M105" s="13">
        <v>13551.797</v>
      </c>
      <c r="N105" s="13">
        <v>21311.826000000001</v>
      </c>
      <c r="O105" s="13">
        <v>106612.476</v>
      </c>
    </row>
    <row r="106" spans="1:15" x14ac:dyDescent="0.25">
      <c r="A106" s="16">
        <v>42216</v>
      </c>
      <c r="B106" s="15">
        <v>42230</v>
      </c>
      <c r="C106" s="15">
        <v>42243</v>
      </c>
      <c r="D106" s="13">
        <f t="shared" si="3"/>
        <v>865728.51800000027</v>
      </c>
      <c r="E106" s="13">
        <v>102074.823</v>
      </c>
      <c r="F106" s="13">
        <v>84728.07</v>
      </c>
      <c r="G106" s="13">
        <v>260258.34099999999</v>
      </c>
      <c r="H106" s="13">
        <v>39177.419000000002</v>
      </c>
      <c r="I106" s="13">
        <v>20664.397000000001</v>
      </c>
      <c r="J106" s="13">
        <v>34707.163999999997</v>
      </c>
      <c r="K106" s="13">
        <v>119678.05</v>
      </c>
      <c r="L106" s="13">
        <v>56599.158000000003</v>
      </c>
      <c r="M106" s="13">
        <v>14658.92</v>
      </c>
      <c r="N106" s="13">
        <v>23003.152999999998</v>
      </c>
      <c r="O106" s="13">
        <v>110179.023</v>
      </c>
    </row>
    <row r="107" spans="1:15" x14ac:dyDescent="0.25">
      <c r="A107" s="16">
        <v>42230</v>
      </c>
      <c r="B107" s="15">
        <v>42244</v>
      </c>
      <c r="C107" s="15">
        <v>42257</v>
      </c>
      <c r="D107" s="13">
        <f t="shared" si="3"/>
        <v>872217.51500000013</v>
      </c>
      <c r="E107" s="13">
        <v>106553.738</v>
      </c>
      <c r="F107" s="13">
        <v>82195.031000000003</v>
      </c>
      <c r="G107" s="13">
        <v>263784.32400000002</v>
      </c>
      <c r="H107" s="13">
        <v>39660.576999999997</v>
      </c>
      <c r="I107" s="13">
        <v>21888.547999999999</v>
      </c>
      <c r="J107" s="13">
        <v>35481.405000000006</v>
      </c>
      <c r="K107" s="13">
        <v>116025.717</v>
      </c>
      <c r="L107" s="13">
        <v>57100.425000000003</v>
      </c>
      <c r="M107" s="13">
        <v>15461.117</v>
      </c>
      <c r="N107" s="13">
        <v>23258.832999999999</v>
      </c>
      <c r="O107" s="13">
        <v>110807.8</v>
      </c>
    </row>
    <row r="108" spans="1:15" x14ac:dyDescent="0.25">
      <c r="A108" s="16">
        <v>42244</v>
      </c>
      <c r="B108" s="15">
        <v>42258</v>
      </c>
      <c r="C108" s="15">
        <v>42271</v>
      </c>
      <c r="D108" s="13">
        <f t="shared" si="3"/>
        <v>913899.88000000012</v>
      </c>
      <c r="E108" s="13">
        <v>106995.14</v>
      </c>
      <c r="F108" s="13">
        <v>83599.862999999998</v>
      </c>
      <c r="G108" s="13">
        <v>275542.03899999999</v>
      </c>
      <c r="H108" s="13">
        <v>43014.616000000002</v>
      </c>
      <c r="I108" s="13">
        <v>25485.465</v>
      </c>
      <c r="J108" s="13">
        <v>37792.508000000002</v>
      </c>
      <c r="K108" s="13">
        <v>114905.807</v>
      </c>
      <c r="L108" s="13">
        <v>68062.608999999997</v>
      </c>
      <c r="M108" s="13">
        <v>16174.383</v>
      </c>
      <c r="N108" s="13">
        <v>25077.312000000002</v>
      </c>
      <c r="O108" s="13">
        <v>117250.13800000001</v>
      </c>
    </row>
    <row r="109" spans="1:15" x14ac:dyDescent="0.25">
      <c r="A109" s="16">
        <v>42258</v>
      </c>
      <c r="B109" s="15">
        <v>42275</v>
      </c>
      <c r="C109" s="15">
        <v>42285</v>
      </c>
      <c r="D109" s="13">
        <f t="shared" si="3"/>
        <v>951143.76000000013</v>
      </c>
      <c r="E109" s="13">
        <v>108478.68700000001</v>
      </c>
      <c r="F109" s="13">
        <v>91169.675000000003</v>
      </c>
      <c r="G109" s="13">
        <v>284495.69400000002</v>
      </c>
      <c r="H109" s="13">
        <v>42205.614999999998</v>
      </c>
      <c r="I109" s="13">
        <v>27097.55</v>
      </c>
      <c r="J109" s="13">
        <v>40303.508999999998</v>
      </c>
      <c r="K109" s="13">
        <v>118309.243</v>
      </c>
      <c r="L109" s="13">
        <v>72034.39</v>
      </c>
      <c r="M109" s="13">
        <v>16895.457999999999</v>
      </c>
      <c r="N109" s="13">
        <v>26643.177</v>
      </c>
      <c r="O109" s="13">
        <v>123510.762</v>
      </c>
    </row>
    <row r="110" spans="1:15" x14ac:dyDescent="0.25">
      <c r="A110" s="16">
        <v>42270</v>
      </c>
      <c r="B110" s="15">
        <v>42286</v>
      </c>
      <c r="C110" s="15">
        <v>42299</v>
      </c>
      <c r="D110" s="13">
        <f t="shared" si="3"/>
        <v>942539.30000000016</v>
      </c>
      <c r="E110" s="13">
        <v>111159.399</v>
      </c>
      <c r="F110" s="13">
        <v>93017.195999999996</v>
      </c>
      <c r="G110" s="13">
        <v>281405.391</v>
      </c>
      <c r="H110" s="13">
        <v>39726.822</v>
      </c>
      <c r="I110" s="13">
        <v>26532.626</v>
      </c>
      <c r="J110" s="13">
        <v>40862.927000000003</v>
      </c>
      <c r="K110" s="13">
        <v>103780.35799999999</v>
      </c>
      <c r="L110" s="13">
        <v>79634.884999999995</v>
      </c>
      <c r="M110" s="13">
        <v>17466.925999999999</v>
      </c>
      <c r="N110" s="13">
        <v>27226.134999999998</v>
      </c>
      <c r="O110" s="13">
        <v>121726.63499999999</v>
      </c>
    </row>
    <row r="111" spans="1:15" x14ac:dyDescent="0.25">
      <c r="A111" s="16">
        <v>42286</v>
      </c>
      <c r="B111" s="15">
        <v>42300</v>
      </c>
      <c r="C111" s="15">
        <v>42313</v>
      </c>
      <c r="D111" s="13">
        <f t="shared" si="3"/>
        <v>930698.85200000007</v>
      </c>
      <c r="E111" s="13">
        <v>111549.41800000001</v>
      </c>
      <c r="F111" s="13">
        <v>90491.437999999995</v>
      </c>
      <c r="G111" s="13">
        <v>281954.89</v>
      </c>
      <c r="H111" s="13">
        <v>35822.620999999999</v>
      </c>
      <c r="I111" s="13">
        <v>26384.313999999998</v>
      </c>
      <c r="J111" s="13">
        <v>41654.235999999997</v>
      </c>
      <c r="K111" s="13">
        <v>96954.49</v>
      </c>
      <c r="L111" s="13">
        <v>82809.608999999997</v>
      </c>
      <c r="M111" s="13">
        <v>17288.534</v>
      </c>
      <c r="N111" s="13">
        <v>26966.274000000001</v>
      </c>
      <c r="O111" s="13">
        <v>118823.02800000001</v>
      </c>
    </row>
    <row r="112" spans="1:15" x14ac:dyDescent="0.25">
      <c r="A112" s="16">
        <v>42300</v>
      </c>
      <c r="B112" s="15">
        <v>42314</v>
      </c>
      <c r="C112" s="15">
        <v>42327</v>
      </c>
      <c r="D112" s="13">
        <f t="shared" si="3"/>
        <v>919878.69800000009</v>
      </c>
      <c r="E112" s="13">
        <v>112853.49400000001</v>
      </c>
      <c r="F112" s="13">
        <v>86226.409</v>
      </c>
      <c r="G112" s="13">
        <v>285145.19400000002</v>
      </c>
      <c r="H112" s="13">
        <v>34797.586000000003</v>
      </c>
      <c r="I112" s="13">
        <v>26266.327000000001</v>
      </c>
      <c r="J112" s="13">
        <v>41749.184000000001</v>
      </c>
      <c r="K112" s="13">
        <v>91936.887000000002</v>
      </c>
      <c r="L112" s="13">
        <v>82167.466</v>
      </c>
      <c r="M112" s="13">
        <v>17226.552</v>
      </c>
      <c r="N112" s="13">
        <v>26727.992999999999</v>
      </c>
      <c r="O112" s="13">
        <v>114781.606</v>
      </c>
    </row>
    <row r="113" spans="1:16" x14ac:dyDescent="0.25">
      <c r="A113" s="16">
        <v>42314</v>
      </c>
      <c r="B113" s="15">
        <v>42328</v>
      </c>
      <c r="C113" s="15">
        <v>42341</v>
      </c>
      <c r="D113" s="13">
        <f t="shared" si="3"/>
        <v>900232.65000000014</v>
      </c>
      <c r="E113" s="13">
        <v>105726.109</v>
      </c>
      <c r="F113" s="13">
        <v>84901.089000000007</v>
      </c>
      <c r="G113" s="13">
        <v>277666.95600000001</v>
      </c>
      <c r="H113" s="13">
        <v>35656.063000000002</v>
      </c>
      <c r="I113" s="13">
        <v>25562.405999999999</v>
      </c>
      <c r="J113" s="13">
        <v>40377.597999999998</v>
      </c>
      <c r="K113" s="13">
        <v>90425.248000000007</v>
      </c>
      <c r="L113" s="13">
        <v>81615.777000000002</v>
      </c>
      <c r="M113" s="13">
        <v>17090.151999999998</v>
      </c>
      <c r="N113" s="13">
        <v>26931.484</v>
      </c>
      <c r="O113" s="13">
        <v>114279.768</v>
      </c>
    </row>
    <row r="114" spans="1:16" x14ac:dyDescent="0.25">
      <c r="A114" s="16">
        <v>42328</v>
      </c>
      <c r="B114" s="15">
        <v>42342</v>
      </c>
      <c r="C114" s="15">
        <v>42355</v>
      </c>
      <c r="D114" s="13">
        <f t="shared" si="3"/>
        <v>892896.96799999999</v>
      </c>
      <c r="E114" s="13">
        <v>106622.63099999999</v>
      </c>
      <c r="F114" s="13">
        <v>88709.070999999996</v>
      </c>
      <c r="G114" s="13">
        <v>270047.76299999998</v>
      </c>
      <c r="H114" s="13">
        <v>36551.656000000003</v>
      </c>
      <c r="I114" s="13">
        <v>25369.664000000001</v>
      </c>
      <c r="J114" s="13">
        <v>39960.777000000002</v>
      </c>
      <c r="K114" s="13">
        <v>87704.504000000001</v>
      </c>
      <c r="L114" s="13">
        <v>80706.591</v>
      </c>
      <c r="M114" s="13">
        <v>17451.531999999999</v>
      </c>
      <c r="N114" s="13">
        <v>26680.871999999999</v>
      </c>
      <c r="O114" s="13">
        <v>113091.90700000001</v>
      </c>
    </row>
    <row r="115" spans="1:16" x14ac:dyDescent="0.25">
      <c r="A115" s="16">
        <v>42342</v>
      </c>
      <c r="B115" s="15">
        <v>42356</v>
      </c>
      <c r="C115" s="15">
        <v>42372</v>
      </c>
      <c r="D115" s="13">
        <f t="shared" si="3"/>
        <v>894066.74999999988</v>
      </c>
      <c r="E115" s="13">
        <v>105898.978</v>
      </c>
      <c r="F115" s="13">
        <v>90500.785000000003</v>
      </c>
      <c r="G115" s="13">
        <v>267182.44300000003</v>
      </c>
      <c r="H115" s="13">
        <v>37279.654000000002</v>
      </c>
      <c r="I115" s="13">
        <v>25333.848999999998</v>
      </c>
      <c r="J115" s="13">
        <v>40358.197999999997</v>
      </c>
      <c r="K115" s="13">
        <v>81538.020999999993</v>
      </c>
      <c r="L115" s="13">
        <v>86692.361999999994</v>
      </c>
      <c r="M115" s="13">
        <v>17900.031999999999</v>
      </c>
      <c r="N115" s="13">
        <v>26747.510999999999</v>
      </c>
      <c r="O115" s="13">
        <v>114634.917</v>
      </c>
    </row>
    <row r="116" spans="1:16" x14ac:dyDescent="0.25">
      <c r="A116" s="16">
        <v>42356</v>
      </c>
      <c r="B116" s="15">
        <v>42373</v>
      </c>
      <c r="C116" s="15">
        <v>42383</v>
      </c>
      <c r="D116" s="13">
        <f t="shared" si="3"/>
        <v>911420.39199999999</v>
      </c>
      <c r="E116" s="13">
        <v>109642.361</v>
      </c>
      <c r="F116" s="13">
        <v>92536.145000000004</v>
      </c>
      <c r="G116" s="13">
        <v>270462.62199999997</v>
      </c>
      <c r="H116" s="13">
        <v>37255.894999999997</v>
      </c>
      <c r="I116" s="13">
        <v>24834.043000000001</v>
      </c>
      <c r="J116" s="13">
        <v>42155.158000000003</v>
      </c>
      <c r="K116" s="13">
        <v>82352.183000000005</v>
      </c>
      <c r="L116" s="13">
        <v>89256.1</v>
      </c>
      <c r="M116" s="13">
        <v>18466.917000000001</v>
      </c>
      <c r="N116" s="13">
        <v>27430.223999999998</v>
      </c>
      <c r="O116" s="13">
        <v>117028.74400000001</v>
      </c>
    </row>
    <row r="117" spans="1:16" x14ac:dyDescent="0.25">
      <c r="A117" s="16">
        <v>42369</v>
      </c>
      <c r="B117" s="15">
        <v>42384</v>
      </c>
      <c r="C117" s="15">
        <v>42397</v>
      </c>
      <c r="D117" s="13">
        <f t="shared" si="3"/>
        <v>896903.34600000002</v>
      </c>
      <c r="E117" s="13">
        <v>109831.64</v>
      </c>
      <c r="F117" s="13">
        <v>81342.088000000003</v>
      </c>
      <c r="G117" s="13">
        <v>267350.14199999999</v>
      </c>
      <c r="H117" s="13">
        <v>35810.597999999998</v>
      </c>
      <c r="I117" s="13">
        <v>24041.66</v>
      </c>
      <c r="J117" s="13">
        <v>44442.218000000001</v>
      </c>
      <c r="K117" s="13">
        <v>83595.707999999999</v>
      </c>
      <c r="L117" s="13">
        <v>89148.631999999998</v>
      </c>
      <c r="M117" s="13">
        <v>17903.03</v>
      </c>
      <c r="N117" s="13">
        <v>27382.165000000001</v>
      </c>
      <c r="O117" s="13">
        <v>116055.465</v>
      </c>
    </row>
    <row r="118" spans="1:16" x14ac:dyDescent="0.25">
      <c r="A118" s="16">
        <v>42384</v>
      </c>
      <c r="B118" s="15">
        <v>42398</v>
      </c>
      <c r="C118" s="15">
        <v>42411</v>
      </c>
      <c r="D118" s="13">
        <f t="shared" si="3"/>
        <v>919740.89100000006</v>
      </c>
      <c r="E118" s="13">
        <v>104683.15</v>
      </c>
      <c r="F118" s="13">
        <v>81729.623000000007</v>
      </c>
      <c r="G118" s="13">
        <v>279711.97100000002</v>
      </c>
      <c r="H118" s="13">
        <v>35109.620000000003</v>
      </c>
      <c r="I118" s="13">
        <v>24062.766</v>
      </c>
      <c r="J118" s="13">
        <v>46003.830999999998</v>
      </c>
      <c r="K118" s="13">
        <v>86835.399000000005</v>
      </c>
      <c r="L118" s="13">
        <v>91106.27</v>
      </c>
      <c r="M118" s="13">
        <v>18011.803</v>
      </c>
      <c r="N118" s="13">
        <v>29867.81</v>
      </c>
      <c r="O118" s="13">
        <v>122618.648</v>
      </c>
    </row>
    <row r="119" spans="1:16" x14ac:dyDescent="0.25">
      <c r="A119" s="22">
        <v>42398</v>
      </c>
      <c r="B119" s="17">
        <v>42412</v>
      </c>
      <c r="C119" s="17">
        <v>42425</v>
      </c>
      <c r="D119" s="18">
        <f t="shared" ref="D119" si="4">SUM(E119:P119)</f>
        <v>908334.17500000005</v>
      </c>
      <c r="E119" s="18">
        <v>108111.234</v>
      </c>
      <c r="F119" s="18">
        <v>80107.896999999997</v>
      </c>
      <c r="G119" s="18">
        <v>276652.22499999998</v>
      </c>
      <c r="H119" s="18">
        <v>32849.750999999997</v>
      </c>
      <c r="I119" s="18">
        <v>23534.417000000001</v>
      </c>
      <c r="J119" s="18">
        <v>45991.421999999999</v>
      </c>
      <c r="K119" s="18">
        <v>83366.346000000005</v>
      </c>
      <c r="L119" s="18">
        <v>89554.804999999993</v>
      </c>
      <c r="M119" s="18">
        <v>18135.938999999998</v>
      </c>
      <c r="N119" s="18">
        <v>29399.169000000002</v>
      </c>
      <c r="O119" s="18">
        <v>120630.97</v>
      </c>
    </row>
    <row r="120" spans="1:16" x14ac:dyDescent="0.25">
      <c r="A120" s="5"/>
      <c r="B120" s="5"/>
      <c r="C120" s="5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4"/>
      <c r="O120" s="4"/>
    </row>
    <row r="121" spans="1:16" s="2" customFormat="1" ht="75.75" customHeight="1" x14ac:dyDescent="0.25">
      <c r="A121" s="27" t="s">
        <v>9</v>
      </c>
      <c r="B121" s="28" t="s">
        <v>40</v>
      </c>
      <c r="C121" s="28" t="s">
        <v>41</v>
      </c>
      <c r="D121" s="28" t="s">
        <v>6</v>
      </c>
      <c r="E121" s="28" t="s">
        <v>16</v>
      </c>
      <c r="F121" s="28" t="s">
        <v>2</v>
      </c>
      <c r="G121" s="28" t="s">
        <v>3</v>
      </c>
      <c r="H121" s="28" t="s">
        <v>4</v>
      </c>
      <c r="I121" s="28" t="s">
        <v>1</v>
      </c>
      <c r="J121" s="28" t="s">
        <v>5</v>
      </c>
      <c r="K121" s="28" t="s">
        <v>7</v>
      </c>
      <c r="L121" s="28" t="s">
        <v>28</v>
      </c>
      <c r="M121" s="28" t="s">
        <v>8</v>
      </c>
      <c r="N121" s="28" t="s">
        <v>11</v>
      </c>
      <c r="O121" s="28" t="s">
        <v>12</v>
      </c>
      <c r="P121" s="37" t="s">
        <v>29</v>
      </c>
    </row>
    <row r="122" spans="1:16" x14ac:dyDescent="0.25">
      <c r="A122" s="24">
        <v>42412</v>
      </c>
      <c r="B122" s="25">
        <v>42426</v>
      </c>
      <c r="C122" s="25">
        <v>42439</v>
      </c>
      <c r="D122" s="12">
        <f t="shared" ref="D122:D185" si="5">SUM(E122:P122)</f>
        <v>912426.70399999991</v>
      </c>
      <c r="E122" s="12">
        <v>101874.049</v>
      </c>
      <c r="F122" s="12">
        <v>76038.163</v>
      </c>
      <c r="G122" s="12">
        <v>267827.065</v>
      </c>
      <c r="H122" s="12">
        <v>27465.66</v>
      </c>
      <c r="I122" s="12">
        <v>19693.565999999999</v>
      </c>
      <c r="J122" s="12">
        <v>42033.684000000001</v>
      </c>
      <c r="K122" s="12">
        <v>117170.296</v>
      </c>
      <c r="L122" s="12">
        <v>94825.717000000004</v>
      </c>
      <c r="M122" s="12">
        <v>18542.638999999999</v>
      </c>
      <c r="N122" s="12">
        <v>29333.932000000001</v>
      </c>
      <c r="O122" s="12">
        <v>117440.402</v>
      </c>
      <c r="P122" s="12">
        <v>181.53100000000001</v>
      </c>
    </row>
    <row r="123" spans="1:16" x14ac:dyDescent="0.25">
      <c r="A123" s="16">
        <v>42426</v>
      </c>
      <c r="B123" s="15">
        <v>42440</v>
      </c>
      <c r="C123" s="15">
        <v>42453</v>
      </c>
      <c r="D123" s="13">
        <f t="shared" si="5"/>
        <v>912015.50500000012</v>
      </c>
      <c r="E123" s="13">
        <v>104512.29399999999</v>
      </c>
      <c r="F123" s="13">
        <v>73589.578999999998</v>
      </c>
      <c r="G123" s="13">
        <v>268263.58100000001</v>
      </c>
      <c r="H123" s="13">
        <v>26972.276000000002</v>
      </c>
      <c r="I123" s="13">
        <v>18976.475999999999</v>
      </c>
      <c r="J123" s="13">
        <v>42558.843000000001</v>
      </c>
      <c r="K123" s="13">
        <v>117788.152</v>
      </c>
      <c r="L123" s="13">
        <v>94127.368000000002</v>
      </c>
      <c r="M123" s="13">
        <v>18861.460999999999</v>
      </c>
      <c r="N123" s="13">
        <v>28964.804</v>
      </c>
      <c r="O123" s="13">
        <v>117242.399</v>
      </c>
      <c r="P123" s="13">
        <v>158.27199999999999</v>
      </c>
    </row>
    <row r="124" spans="1:16" x14ac:dyDescent="0.25">
      <c r="A124" s="16">
        <v>42440</v>
      </c>
      <c r="B124" s="15">
        <v>42454</v>
      </c>
      <c r="C124" s="15">
        <v>42467</v>
      </c>
      <c r="D124" s="13">
        <f t="shared" si="5"/>
        <v>901848.06300000008</v>
      </c>
      <c r="E124" s="13">
        <v>108187.173</v>
      </c>
      <c r="F124" s="13">
        <v>73275.735000000001</v>
      </c>
      <c r="G124" s="13">
        <v>264658.79200000002</v>
      </c>
      <c r="H124" s="13">
        <v>26293.319</v>
      </c>
      <c r="I124" s="13">
        <v>18232.29</v>
      </c>
      <c r="J124" s="13">
        <v>41612.421999999999</v>
      </c>
      <c r="K124" s="13">
        <v>113584.18</v>
      </c>
      <c r="L124" s="13">
        <v>92569.475999999995</v>
      </c>
      <c r="M124" s="13">
        <v>18541.052</v>
      </c>
      <c r="N124" s="13">
        <v>28521.966</v>
      </c>
      <c r="O124" s="13">
        <v>116199.031</v>
      </c>
      <c r="P124" s="13">
        <v>172.62700000000001</v>
      </c>
    </row>
    <row r="125" spans="1:16" x14ac:dyDescent="0.25">
      <c r="A125" s="16">
        <v>42454</v>
      </c>
      <c r="B125" s="15">
        <v>42468</v>
      </c>
      <c r="C125" s="15">
        <v>42481</v>
      </c>
      <c r="D125" s="13">
        <f t="shared" si="5"/>
        <v>912810.66299999994</v>
      </c>
      <c r="E125" s="13">
        <v>109417.59699999999</v>
      </c>
      <c r="F125" s="13">
        <v>73529.206000000006</v>
      </c>
      <c r="G125" s="13">
        <v>272670.77799999999</v>
      </c>
      <c r="H125" s="13">
        <v>27711.85</v>
      </c>
      <c r="I125" s="13">
        <v>18818.186000000002</v>
      </c>
      <c r="J125" s="13">
        <v>42593.966</v>
      </c>
      <c r="K125" s="13">
        <v>110915.98</v>
      </c>
      <c r="L125" s="13">
        <v>93230.104000000007</v>
      </c>
      <c r="M125" s="13">
        <v>19345.599999999999</v>
      </c>
      <c r="N125" s="13">
        <v>28500.785</v>
      </c>
      <c r="O125" s="13">
        <v>115912.553</v>
      </c>
      <c r="P125" s="13">
        <v>164.05799999999999</v>
      </c>
    </row>
    <row r="126" spans="1:16" x14ac:dyDescent="0.25">
      <c r="A126" s="16">
        <v>42468</v>
      </c>
      <c r="B126" s="15">
        <v>42482</v>
      </c>
      <c r="C126" s="15">
        <v>42495</v>
      </c>
      <c r="D126" s="13">
        <f t="shared" si="5"/>
        <v>912602.41999999993</v>
      </c>
      <c r="E126" s="13">
        <v>106776.505</v>
      </c>
      <c r="F126" s="13">
        <v>72802.195999999996</v>
      </c>
      <c r="G126" s="13">
        <v>271964.08899999998</v>
      </c>
      <c r="H126" s="13">
        <v>28791.692999999999</v>
      </c>
      <c r="I126" s="13">
        <v>19346.008000000002</v>
      </c>
      <c r="J126" s="13">
        <v>42993.923999999999</v>
      </c>
      <c r="K126" s="13">
        <v>108701.497</v>
      </c>
      <c r="L126" s="13">
        <v>92625.861999999994</v>
      </c>
      <c r="M126" s="13">
        <v>18704.784</v>
      </c>
      <c r="N126" s="13">
        <v>28255.075000000001</v>
      </c>
      <c r="O126" s="13">
        <v>121450.334</v>
      </c>
      <c r="P126" s="13">
        <v>190.453</v>
      </c>
    </row>
    <row r="127" spans="1:16" x14ac:dyDescent="0.25">
      <c r="A127" s="16">
        <v>42482</v>
      </c>
      <c r="B127" s="15">
        <v>42496</v>
      </c>
      <c r="C127" s="15">
        <v>42509</v>
      </c>
      <c r="D127" s="13">
        <f t="shared" si="5"/>
        <v>907583.72699999996</v>
      </c>
      <c r="E127" s="13">
        <v>108006.94899999999</v>
      </c>
      <c r="F127" s="13">
        <v>77593.404999999999</v>
      </c>
      <c r="G127" s="13">
        <v>268150.47700000001</v>
      </c>
      <c r="H127" s="13">
        <v>29561.958999999999</v>
      </c>
      <c r="I127" s="13">
        <v>19686.651999999998</v>
      </c>
      <c r="J127" s="13">
        <v>43349.298000000003</v>
      </c>
      <c r="K127" s="13">
        <v>108675.038</v>
      </c>
      <c r="L127" s="13">
        <v>87166.35</v>
      </c>
      <c r="M127" s="13">
        <v>18446.266</v>
      </c>
      <c r="N127" s="13">
        <v>27932.684000000001</v>
      </c>
      <c r="O127" s="13">
        <v>118837.49099999999</v>
      </c>
      <c r="P127" s="13">
        <v>177.15799999999999</v>
      </c>
    </row>
    <row r="128" spans="1:16" x14ac:dyDescent="0.25">
      <c r="A128" s="16">
        <v>42496</v>
      </c>
      <c r="B128" s="15">
        <v>42510</v>
      </c>
      <c r="C128" s="15">
        <v>42523</v>
      </c>
      <c r="D128" s="13">
        <f t="shared" si="5"/>
        <v>939054.76799999981</v>
      </c>
      <c r="E128" s="13">
        <v>106606.397</v>
      </c>
      <c r="F128" s="13">
        <v>73796.017000000007</v>
      </c>
      <c r="G128" s="13">
        <v>279572.587</v>
      </c>
      <c r="H128" s="13">
        <v>31017.620999999999</v>
      </c>
      <c r="I128" s="13">
        <v>21006.197</v>
      </c>
      <c r="J128" s="13">
        <v>45218.442999999999</v>
      </c>
      <c r="K128" s="13">
        <v>113144.602</v>
      </c>
      <c r="L128" s="13">
        <v>93730.672999999995</v>
      </c>
      <c r="M128" s="13">
        <v>19482.974999999999</v>
      </c>
      <c r="N128" s="13">
        <v>28982.875</v>
      </c>
      <c r="O128" s="13">
        <v>126296.262</v>
      </c>
      <c r="P128" s="13">
        <v>200.119</v>
      </c>
    </row>
    <row r="129" spans="1:16" x14ac:dyDescent="0.25">
      <c r="A129" s="16">
        <v>42510</v>
      </c>
      <c r="B129" s="15">
        <v>42524</v>
      </c>
      <c r="C129" s="15">
        <v>42537</v>
      </c>
      <c r="D129" s="13">
        <f t="shared" si="5"/>
        <v>948560.85900000005</v>
      </c>
      <c r="E129" s="13">
        <v>104111.899</v>
      </c>
      <c r="F129" s="13">
        <v>75139.538</v>
      </c>
      <c r="G129" s="13">
        <v>278873.65600000002</v>
      </c>
      <c r="H129" s="13">
        <v>33172.639999999999</v>
      </c>
      <c r="I129" s="13">
        <v>20678.291000000001</v>
      </c>
      <c r="J129" s="13">
        <v>45825.269</v>
      </c>
      <c r="K129" s="13">
        <v>117543.493</v>
      </c>
      <c r="L129" s="13">
        <v>95395.012000000002</v>
      </c>
      <c r="M129" s="13">
        <v>19001.879000000001</v>
      </c>
      <c r="N129" s="13">
        <v>29599.717000000001</v>
      </c>
      <c r="O129" s="13">
        <v>129031.361</v>
      </c>
      <c r="P129" s="13">
        <v>188.10400000000001</v>
      </c>
    </row>
    <row r="130" spans="1:16" x14ac:dyDescent="0.25">
      <c r="A130" s="16">
        <v>42524</v>
      </c>
      <c r="B130" s="15">
        <v>42538</v>
      </c>
      <c r="C130" s="15">
        <v>42551</v>
      </c>
      <c r="D130" s="13">
        <f t="shared" si="5"/>
        <v>936742.28500000003</v>
      </c>
      <c r="E130" s="13">
        <v>103083.774</v>
      </c>
      <c r="F130" s="13">
        <v>76348.561000000002</v>
      </c>
      <c r="G130" s="13">
        <v>272272.647</v>
      </c>
      <c r="H130" s="13">
        <v>33490.351000000002</v>
      </c>
      <c r="I130" s="13">
        <v>22910.008000000002</v>
      </c>
      <c r="J130" s="13">
        <v>44648.326000000001</v>
      </c>
      <c r="K130" s="13">
        <v>116393.633</v>
      </c>
      <c r="L130" s="13">
        <v>92327.438999999998</v>
      </c>
      <c r="M130" s="13">
        <v>18875.428</v>
      </c>
      <c r="N130" s="13">
        <v>29179.045999999998</v>
      </c>
      <c r="O130" s="13">
        <v>127033.09600000001</v>
      </c>
      <c r="P130" s="13">
        <v>179.976</v>
      </c>
    </row>
    <row r="131" spans="1:16" x14ac:dyDescent="0.25">
      <c r="A131" s="16">
        <v>42538</v>
      </c>
      <c r="B131" s="15">
        <v>42552</v>
      </c>
      <c r="C131" s="15">
        <v>42565</v>
      </c>
      <c r="D131" s="13">
        <f t="shared" si="5"/>
        <v>935852.40200000012</v>
      </c>
      <c r="E131" s="13">
        <v>104137.16</v>
      </c>
      <c r="F131" s="13">
        <v>77413.197</v>
      </c>
      <c r="G131" s="13">
        <v>270658.663</v>
      </c>
      <c r="H131" s="13">
        <v>33729.398999999998</v>
      </c>
      <c r="I131" s="13">
        <v>23717.115000000002</v>
      </c>
      <c r="J131" s="13">
        <v>45289.298999999999</v>
      </c>
      <c r="K131" s="13">
        <v>115315.10400000001</v>
      </c>
      <c r="L131" s="13">
        <v>91620.561000000002</v>
      </c>
      <c r="M131" s="13">
        <v>18939.058000000001</v>
      </c>
      <c r="N131" s="13">
        <v>28964.753000000001</v>
      </c>
      <c r="O131" s="13">
        <v>125890.734</v>
      </c>
      <c r="P131" s="13">
        <v>177.35900000000001</v>
      </c>
    </row>
    <row r="132" spans="1:16" x14ac:dyDescent="0.25">
      <c r="A132" s="16">
        <v>42552</v>
      </c>
      <c r="B132" s="15">
        <v>42566</v>
      </c>
      <c r="C132" s="15">
        <v>42579</v>
      </c>
      <c r="D132" s="13">
        <f t="shared" si="5"/>
        <v>919743.53200000012</v>
      </c>
      <c r="E132" s="13">
        <v>105400.817</v>
      </c>
      <c r="F132" s="13">
        <v>71070.81</v>
      </c>
      <c r="G132" s="13">
        <v>262755.53700000001</v>
      </c>
      <c r="H132" s="13">
        <v>34960.733</v>
      </c>
      <c r="I132" s="13">
        <v>22897.982</v>
      </c>
      <c r="J132" s="13">
        <v>45324.620999999999</v>
      </c>
      <c r="K132" s="13">
        <v>111420.08100000001</v>
      </c>
      <c r="L132" s="13">
        <v>91222.104000000007</v>
      </c>
      <c r="M132" s="13">
        <v>19624.174999999999</v>
      </c>
      <c r="N132" s="13">
        <v>30179.402999999998</v>
      </c>
      <c r="O132" s="13">
        <v>124687.06</v>
      </c>
      <c r="P132" s="13">
        <v>200.209</v>
      </c>
    </row>
    <row r="133" spans="1:16" x14ac:dyDescent="0.25">
      <c r="A133" s="16">
        <v>42566</v>
      </c>
      <c r="B133" s="15">
        <v>42580</v>
      </c>
      <c r="C133" s="15">
        <v>42593</v>
      </c>
      <c r="D133" s="13">
        <f t="shared" si="5"/>
        <v>920334.0070000001</v>
      </c>
      <c r="E133" s="13">
        <v>106823.70299999999</v>
      </c>
      <c r="F133" s="13">
        <v>75465.202999999994</v>
      </c>
      <c r="G133" s="13">
        <v>260049.47700000001</v>
      </c>
      <c r="H133" s="13">
        <v>34360.245999999999</v>
      </c>
      <c r="I133" s="13">
        <v>23018.28</v>
      </c>
      <c r="J133" s="13">
        <v>45407.932000000001</v>
      </c>
      <c r="K133" s="13">
        <v>111018.236</v>
      </c>
      <c r="L133" s="13">
        <v>89751.876000000004</v>
      </c>
      <c r="M133" s="13">
        <v>19662.901999999998</v>
      </c>
      <c r="N133" s="13">
        <v>30005.448</v>
      </c>
      <c r="O133" s="13">
        <v>124579.478</v>
      </c>
      <c r="P133" s="13">
        <v>191.226</v>
      </c>
    </row>
    <row r="134" spans="1:16" x14ac:dyDescent="0.25">
      <c r="A134" s="16">
        <v>42580</v>
      </c>
      <c r="B134" s="15">
        <v>42594</v>
      </c>
      <c r="C134" s="15">
        <v>42607</v>
      </c>
      <c r="D134" s="13">
        <f t="shared" si="5"/>
        <v>923903.21799999988</v>
      </c>
      <c r="E134" s="13">
        <v>99592.712</v>
      </c>
      <c r="F134" s="13">
        <v>71007.120999999999</v>
      </c>
      <c r="G134" s="13">
        <v>256936.715</v>
      </c>
      <c r="H134" s="13">
        <v>36052.607000000004</v>
      </c>
      <c r="I134" s="13">
        <v>23396.865000000002</v>
      </c>
      <c r="J134" s="13">
        <v>46032.872000000003</v>
      </c>
      <c r="K134" s="13">
        <v>114814.5</v>
      </c>
      <c r="L134" s="13">
        <v>94059.808000000005</v>
      </c>
      <c r="M134" s="13">
        <v>20587.754000000001</v>
      </c>
      <c r="N134" s="13">
        <v>31303.834999999999</v>
      </c>
      <c r="O134" s="13">
        <v>129947.391</v>
      </c>
      <c r="P134" s="13">
        <v>171.03800000000001</v>
      </c>
    </row>
    <row r="135" spans="1:16" x14ac:dyDescent="0.25">
      <c r="A135" s="16">
        <v>42594</v>
      </c>
      <c r="B135" s="15">
        <v>42608</v>
      </c>
      <c r="C135" s="15">
        <v>42621</v>
      </c>
      <c r="D135" s="13">
        <f t="shared" si="5"/>
        <v>910355.11800000002</v>
      </c>
      <c r="E135" s="13">
        <v>101151.443</v>
      </c>
      <c r="F135" s="13">
        <v>73169.213000000003</v>
      </c>
      <c r="G135" s="13">
        <v>251012.62599999999</v>
      </c>
      <c r="H135" s="13">
        <v>33845.142</v>
      </c>
      <c r="I135" s="13">
        <v>22501.633999999998</v>
      </c>
      <c r="J135" s="13">
        <v>45616.909</v>
      </c>
      <c r="K135" s="13">
        <v>111431.62</v>
      </c>
      <c r="L135" s="13">
        <v>92941.748999999996</v>
      </c>
      <c r="M135" s="13">
        <v>20240.457999999999</v>
      </c>
      <c r="N135" s="13">
        <v>30509.982</v>
      </c>
      <c r="O135" s="13">
        <v>127793.106</v>
      </c>
      <c r="P135" s="13">
        <v>141.23599999999999</v>
      </c>
    </row>
    <row r="136" spans="1:16" x14ac:dyDescent="0.25">
      <c r="A136" s="16">
        <v>42608</v>
      </c>
      <c r="B136" s="15">
        <v>42622</v>
      </c>
      <c r="C136" s="15">
        <v>42635</v>
      </c>
      <c r="D136" s="13">
        <f t="shared" si="5"/>
        <v>909272.91</v>
      </c>
      <c r="E136" s="13">
        <v>103114.443</v>
      </c>
      <c r="F136" s="13">
        <v>66365.23</v>
      </c>
      <c r="G136" s="13">
        <v>258016.511</v>
      </c>
      <c r="H136" s="13">
        <v>32763.062999999998</v>
      </c>
      <c r="I136" s="13">
        <v>22599.754000000001</v>
      </c>
      <c r="J136" s="13">
        <v>45883.777000000002</v>
      </c>
      <c r="K136" s="13">
        <v>109583.606</v>
      </c>
      <c r="L136" s="13">
        <v>92437.455000000002</v>
      </c>
      <c r="M136" s="13">
        <v>20217.761999999999</v>
      </c>
      <c r="N136" s="13">
        <v>30485.518</v>
      </c>
      <c r="O136" s="13">
        <v>127651.30899999999</v>
      </c>
      <c r="P136" s="13">
        <v>154.482</v>
      </c>
    </row>
    <row r="137" spans="1:16" x14ac:dyDescent="0.25">
      <c r="A137" s="16">
        <v>42622</v>
      </c>
      <c r="B137" s="15">
        <v>42636</v>
      </c>
      <c r="C137" s="15">
        <v>42649</v>
      </c>
      <c r="D137" s="13">
        <f t="shared" si="5"/>
        <v>903079.8879999998</v>
      </c>
      <c r="E137" s="13">
        <v>101509.152</v>
      </c>
      <c r="F137" s="13">
        <v>62556.447</v>
      </c>
      <c r="G137" s="13">
        <v>260393.73499999999</v>
      </c>
      <c r="H137" s="13">
        <v>32049.288</v>
      </c>
      <c r="I137" s="13">
        <v>22223.629000000001</v>
      </c>
      <c r="J137" s="13">
        <v>44865.584000000003</v>
      </c>
      <c r="K137" s="13">
        <v>110203.859</v>
      </c>
      <c r="L137" s="13">
        <v>91191.375</v>
      </c>
      <c r="M137" s="13">
        <v>20023.472000000002</v>
      </c>
      <c r="N137" s="13">
        <v>30463.391</v>
      </c>
      <c r="O137" s="13">
        <v>127411.84600000001</v>
      </c>
      <c r="P137" s="13">
        <v>188.11</v>
      </c>
    </row>
    <row r="138" spans="1:16" x14ac:dyDescent="0.25">
      <c r="A138" s="16">
        <v>42636</v>
      </c>
      <c r="B138" s="15">
        <v>42650</v>
      </c>
      <c r="C138" s="15">
        <v>42663</v>
      </c>
      <c r="D138" s="13">
        <f t="shared" si="5"/>
        <v>900597.55900000001</v>
      </c>
      <c r="E138" s="13">
        <v>102205.308</v>
      </c>
      <c r="F138" s="13">
        <v>73191.036999999997</v>
      </c>
      <c r="G138" s="13">
        <v>252597.149</v>
      </c>
      <c r="H138" s="13">
        <v>28052.462</v>
      </c>
      <c r="I138" s="13">
        <v>22323.97</v>
      </c>
      <c r="J138" s="13">
        <v>44233.898999999998</v>
      </c>
      <c r="K138" s="13">
        <v>110195.26</v>
      </c>
      <c r="L138" s="13">
        <v>89618.387000000002</v>
      </c>
      <c r="M138" s="13">
        <v>20218.085999999999</v>
      </c>
      <c r="N138" s="13">
        <v>30260.988000000001</v>
      </c>
      <c r="O138" s="13">
        <v>127541.569</v>
      </c>
      <c r="P138" s="13">
        <v>159.44399999999999</v>
      </c>
    </row>
    <row r="139" spans="1:16" x14ac:dyDescent="0.25">
      <c r="A139" s="16">
        <v>42650</v>
      </c>
      <c r="B139" s="15">
        <v>42664</v>
      </c>
      <c r="C139" s="15">
        <v>42677</v>
      </c>
      <c r="D139" s="13">
        <f t="shared" si="5"/>
        <v>914078.20899999992</v>
      </c>
      <c r="E139" s="13">
        <v>101545.217</v>
      </c>
      <c r="F139" s="13">
        <v>71146.577999999994</v>
      </c>
      <c r="G139" s="13">
        <v>257628.598</v>
      </c>
      <c r="H139" s="13">
        <v>26313.360000000001</v>
      </c>
      <c r="I139" s="13">
        <v>23488.460999999999</v>
      </c>
      <c r="J139" s="13">
        <v>44526.951999999997</v>
      </c>
      <c r="K139" s="13">
        <v>112194.15700000001</v>
      </c>
      <c r="L139" s="13">
        <v>91098.933000000005</v>
      </c>
      <c r="M139" s="13">
        <v>20957.238000000001</v>
      </c>
      <c r="N139" s="13">
        <v>31938.742999999999</v>
      </c>
      <c r="O139" s="13">
        <v>133083.87700000001</v>
      </c>
      <c r="P139" s="13">
        <v>156.095</v>
      </c>
    </row>
    <row r="140" spans="1:16" x14ac:dyDescent="0.25">
      <c r="A140" s="16">
        <v>42664</v>
      </c>
      <c r="B140" s="15">
        <v>42678</v>
      </c>
      <c r="C140" s="15">
        <v>42691</v>
      </c>
      <c r="D140" s="13">
        <f t="shared" si="5"/>
        <v>917747.81300000008</v>
      </c>
      <c r="E140" s="13">
        <v>103866.868</v>
      </c>
      <c r="F140" s="13">
        <v>71280.191000000006</v>
      </c>
      <c r="G140" s="13">
        <v>259368.231</v>
      </c>
      <c r="H140" s="13">
        <v>25733.08</v>
      </c>
      <c r="I140" s="13">
        <v>23490.315999999999</v>
      </c>
      <c r="J140" s="13">
        <v>43758.868999999999</v>
      </c>
      <c r="K140" s="13">
        <v>110775.069</v>
      </c>
      <c r="L140" s="13">
        <v>90080.717999999993</v>
      </c>
      <c r="M140" s="13">
        <v>20947.848000000002</v>
      </c>
      <c r="N140" s="13">
        <v>31855.057000000001</v>
      </c>
      <c r="O140" s="13">
        <v>136428.997</v>
      </c>
      <c r="P140" s="13">
        <v>162.56899999999999</v>
      </c>
    </row>
    <row r="141" spans="1:16" x14ac:dyDescent="0.25">
      <c r="A141" s="16">
        <v>42678</v>
      </c>
      <c r="B141" s="15">
        <v>42692</v>
      </c>
      <c r="C141" s="15">
        <v>42705</v>
      </c>
      <c r="D141" s="13">
        <f t="shared" si="5"/>
        <v>940194.4439999999</v>
      </c>
      <c r="E141" s="13">
        <v>103177.731</v>
      </c>
      <c r="F141" s="13">
        <v>68126.335999999996</v>
      </c>
      <c r="G141" s="13">
        <v>270700.24099999998</v>
      </c>
      <c r="H141" s="13">
        <v>25909.526000000002</v>
      </c>
      <c r="I141" s="13">
        <v>23496.431</v>
      </c>
      <c r="J141" s="13">
        <v>44710.332999999999</v>
      </c>
      <c r="K141" s="13">
        <v>116200.315</v>
      </c>
      <c r="L141" s="13">
        <v>93098.403999999995</v>
      </c>
      <c r="M141" s="13">
        <v>21223.098000000002</v>
      </c>
      <c r="N141" s="13">
        <v>32313.264999999999</v>
      </c>
      <c r="O141" s="13">
        <v>141078.49799999999</v>
      </c>
      <c r="P141" s="13">
        <v>160.26599999999999</v>
      </c>
    </row>
    <row r="142" spans="1:16" x14ac:dyDescent="0.25">
      <c r="A142" s="16">
        <v>42692</v>
      </c>
      <c r="B142" s="15">
        <v>42706</v>
      </c>
      <c r="C142" s="15">
        <v>42719</v>
      </c>
      <c r="D142" s="13">
        <f t="shared" si="5"/>
        <v>991057.576</v>
      </c>
      <c r="E142" s="13">
        <v>109113.162</v>
      </c>
      <c r="F142" s="13">
        <v>68135.812000000005</v>
      </c>
      <c r="G142" s="13">
        <v>291490.46399999998</v>
      </c>
      <c r="H142" s="13">
        <v>27488.026000000002</v>
      </c>
      <c r="I142" s="13">
        <v>24719.491000000002</v>
      </c>
      <c r="J142" s="13">
        <v>46479.5</v>
      </c>
      <c r="K142" s="13">
        <v>119822.189</v>
      </c>
      <c r="L142" s="13">
        <v>97915.474000000002</v>
      </c>
      <c r="M142" s="13">
        <v>22369.038</v>
      </c>
      <c r="N142" s="13">
        <v>34007.767999999996</v>
      </c>
      <c r="O142" s="13">
        <v>149345.122</v>
      </c>
      <c r="P142" s="13">
        <v>171.53</v>
      </c>
    </row>
    <row r="143" spans="1:16" x14ac:dyDescent="0.25">
      <c r="A143" s="16">
        <v>42706</v>
      </c>
      <c r="B143" s="15">
        <v>42720</v>
      </c>
      <c r="C143" s="15">
        <v>42733</v>
      </c>
      <c r="D143" s="13">
        <f t="shared" si="5"/>
        <v>1028403.057</v>
      </c>
      <c r="E143" s="13">
        <v>112402.064</v>
      </c>
      <c r="F143" s="13">
        <v>75369.792000000001</v>
      </c>
      <c r="G143" s="13">
        <v>301635.98300000001</v>
      </c>
      <c r="H143" s="13">
        <v>30130.258000000002</v>
      </c>
      <c r="I143" s="13">
        <v>24493.476999999999</v>
      </c>
      <c r="J143" s="13">
        <v>48059.631999999998</v>
      </c>
      <c r="K143" s="13">
        <v>121326.091</v>
      </c>
      <c r="L143" s="13">
        <v>103192.06200000001</v>
      </c>
      <c r="M143" s="13">
        <v>21027.58</v>
      </c>
      <c r="N143" s="13">
        <v>34618.51</v>
      </c>
      <c r="O143" s="13">
        <v>155993.424</v>
      </c>
      <c r="P143" s="13">
        <v>154.184</v>
      </c>
    </row>
    <row r="144" spans="1:16" x14ac:dyDescent="0.25">
      <c r="A144" s="16">
        <v>42720</v>
      </c>
      <c r="B144" s="15">
        <v>42734</v>
      </c>
      <c r="C144" s="15">
        <v>42747</v>
      </c>
      <c r="D144" s="13">
        <f t="shared" si="5"/>
        <v>1042959.232</v>
      </c>
      <c r="E144" s="13">
        <v>119549.791</v>
      </c>
      <c r="F144" s="13">
        <v>79133.778999999995</v>
      </c>
      <c r="G144" s="13">
        <v>301102.33100000001</v>
      </c>
      <c r="H144" s="13">
        <v>31069.424999999999</v>
      </c>
      <c r="I144" s="13">
        <v>25252.975999999999</v>
      </c>
      <c r="J144" s="13">
        <v>48388.415999999997</v>
      </c>
      <c r="K144" s="13">
        <v>117815.848</v>
      </c>
      <c r="L144" s="13">
        <v>105819.007</v>
      </c>
      <c r="M144" s="13">
        <v>21369.484</v>
      </c>
      <c r="N144" s="13">
        <v>34805.872000000003</v>
      </c>
      <c r="O144" s="13">
        <v>158441.23000000001</v>
      </c>
      <c r="P144" s="13">
        <v>211.07300000000001</v>
      </c>
    </row>
    <row r="145" spans="1:16" x14ac:dyDescent="0.25">
      <c r="A145" s="16">
        <v>42734</v>
      </c>
      <c r="B145" s="15">
        <v>42748</v>
      </c>
      <c r="C145" s="15">
        <v>42761</v>
      </c>
      <c r="D145" s="13">
        <f t="shared" si="5"/>
        <v>1039349.9240000001</v>
      </c>
      <c r="E145" s="13">
        <v>124483.819</v>
      </c>
      <c r="F145" s="13">
        <v>74090.637000000002</v>
      </c>
      <c r="G145" s="13">
        <v>301879.995</v>
      </c>
      <c r="H145" s="13">
        <v>32693.606</v>
      </c>
      <c r="I145" s="13">
        <v>25398.952000000001</v>
      </c>
      <c r="J145" s="13">
        <v>47178.675000000003</v>
      </c>
      <c r="K145" s="13">
        <v>112572.326</v>
      </c>
      <c r="L145" s="13">
        <v>106929.497</v>
      </c>
      <c r="M145" s="13">
        <v>19744.595000000001</v>
      </c>
      <c r="N145" s="13">
        <v>35761.523000000001</v>
      </c>
      <c r="O145" s="13">
        <v>158428.08300000001</v>
      </c>
      <c r="P145" s="13">
        <v>188.21600000000001</v>
      </c>
    </row>
    <row r="146" spans="1:16" x14ac:dyDescent="0.25">
      <c r="A146" s="16">
        <v>42748</v>
      </c>
      <c r="B146" s="15">
        <v>42762</v>
      </c>
      <c r="C146" s="15">
        <v>42775</v>
      </c>
      <c r="D146" s="13">
        <f t="shared" si="5"/>
        <v>1137066.8469999998</v>
      </c>
      <c r="E146" s="13">
        <v>131672.299</v>
      </c>
      <c r="F146" s="13">
        <v>80000.543000000005</v>
      </c>
      <c r="G146" s="13">
        <v>333197.99699999997</v>
      </c>
      <c r="H146" s="13">
        <v>37246.472999999998</v>
      </c>
      <c r="I146" s="13">
        <v>27958.827000000001</v>
      </c>
      <c r="J146" s="13">
        <v>52341.610999999997</v>
      </c>
      <c r="K146" s="13">
        <v>124184.71</v>
      </c>
      <c r="L146" s="13">
        <v>116715.13800000001</v>
      </c>
      <c r="M146" s="13">
        <v>21174.192999999999</v>
      </c>
      <c r="N146" s="13">
        <v>38961.904999999999</v>
      </c>
      <c r="O146" s="13">
        <v>173410.37599999999</v>
      </c>
      <c r="P146" s="13">
        <v>202.77500000000001</v>
      </c>
    </row>
    <row r="147" spans="1:16" x14ac:dyDescent="0.25">
      <c r="A147" s="16">
        <v>42762</v>
      </c>
      <c r="B147" s="15">
        <v>42776</v>
      </c>
      <c r="C147" s="15">
        <v>42789</v>
      </c>
      <c r="D147" s="13">
        <f t="shared" si="5"/>
        <v>1144323.9709999999</v>
      </c>
      <c r="E147" s="13">
        <v>132722.40700000001</v>
      </c>
      <c r="F147" s="13">
        <v>81261.350999999995</v>
      </c>
      <c r="G147" s="13">
        <v>335725.68</v>
      </c>
      <c r="H147" s="13">
        <v>38595.485000000001</v>
      </c>
      <c r="I147" s="13">
        <v>27995.993999999999</v>
      </c>
      <c r="J147" s="13">
        <v>52071.512999999999</v>
      </c>
      <c r="K147" s="13">
        <v>124390.337</v>
      </c>
      <c r="L147" s="13">
        <v>117308.815</v>
      </c>
      <c r="M147" s="13">
        <v>20953.149000000001</v>
      </c>
      <c r="N147" s="13">
        <v>39763.038</v>
      </c>
      <c r="O147" s="13">
        <v>173338.27900000001</v>
      </c>
      <c r="P147" s="13">
        <v>197.923</v>
      </c>
    </row>
    <row r="148" spans="1:16" x14ac:dyDescent="0.25">
      <c r="A148" s="16">
        <v>42776</v>
      </c>
      <c r="B148" s="15">
        <v>42790</v>
      </c>
      <c r="C148" s="15">
        <v>42803</v>
      </c>
      <c r="D148" s="13">
        <f t="shared" si="5"/>
        <v>1122746.8450000002</v>
      </c>
      <c r="E148" s="13">
        <v>134292.33799999999</v>
      </c>
      <c r="F148" s="13">
        <v>84983.414000000004</v>
      </c>
      <c r="G148" s="13">
        <v>329729.54399999999</v>
      </c>
      <c r="H148" s="13">
        <v>38060.69</v>
      </c>
      <c r="I148" s="13">
        <v>27196.542000000001</v>
      </c>
      <c r="J148" s="13">
        <v>49836.985999999997</v>
      </c>
      <c r="K148" s="13">
        <v>117989.287</v>
      </c>
      <c r="L148" s="13">
        <v>112116.864</v>
      </c>
      <c r="M148" s="13">
        <v>22642.787</v>
      </c>
      <c r="N148" s="13">
        <v>38977.822</v>
      </c>
      <c r="O148" s="13">
        <v>166725.16699999999</v>
      </c>
      <c r="P148" s="13">
        <v>195.404</v>
      </c>
    </row>
    <row r="149" spans="1:16" x14ac:dyDescent="0.25">
      <c r="A149" s="16">
        <v>42790</v>
      </c>
      <c r="B149" s="15">
        <v>42804</v>
      </c>
      <c r="C149" s="15">
        <v>42817</v>
      </c>
      <c r="D149" s="13">
        <f t="shared" si="5"/>
        <v>1088739.909</v>
      </c>
      <c r="E149" s="13">
        <v>130914.47</v>
      </c>
      <c r="F149" s="13">
        <v>85977.313999999998</v>
      </c>
      <c r="G149" s="13">
        <v>319311.076</v>
      </c>
      <c r="H149" s="13">
        <v>37579.875</v>
      </c>
      <c r="I149" s="13">
        <v>26784.436000000002</v>
      </c>
      <c r="J149" s="13">
        <v>46547.726000000002</v>
      </c>
      <c r="K149" s="13">
        <v>113594.41099999999</v>
      </c>
      <c r="L149" s="13">
        <v>107256.996</v>
      </c>
      <c r="M149" s="13">
        <v>21964.851999999999</v>
      </c>
      <c r="N149" s="13">
        <v>37219.01</v>
      </c>
      <c r="O149" s="13">
        <v>161378.84400000001</v>
      </c>
      <c r="P149" s="13">
        <v>210.899</v>
      </c>
    </row>
    <row r="150" spans="1:16" x14ac:dyDescent="0.25">
      <c r="A150" s="16">
        <v>42804</v>
      </c>
      <c r="B150" s="15">
        <v>42818</v>
      </c>
      <c r="C150" s="15">
        <v>42831</v>
      </c>
      <c r="D150" s="13">
        <f t="shared" si="5"/>
        <v>1139691.53</v>
      </c>
      <c r="E150" s="13">
        <v>133026.01699999999</v>
      </c>
      <c r="F150" s="13">
        <v>87748.267000000007</v>
      </c>
      <c r="G150" s="13">
        <v>336657.45899999997</v>
      </c>
      <c r="H150" s="13">
        <v>38605.451000000001</v>
      </c>
      <c r="I150" s="13">
        <v>28287.38</v>
      </c>
      <c r="J150" s="13">
        <v>48209.843999999997</v>
      </c>
      <c r="K150" s="13">
        <v>123276.30899999999</v>
      </c>
      <c r="L150" s="13">
        <v>112577.97500000001</v>
      </c>
      <c r="M150" s="13">
        <v>22846.246999999999</v>
      </c>
      <c r="N150" s="13">
        <v>38875.087</v>
      </c>
      <c r="O150" s="13">
        <v>169380.649</v>
      </c>
      <c r="P150" s="13">
        <v>200.845</v>
      </c>
    </row>
    <row r="151" spans="1:16" x14ac:dyDescent="0.25">
      <c r="A151" s="16">
        <v>42818</v>
      </c>
      <c r="B151" s="15">
        <v>42832</v>
      </c>
      <c r="C151" s="15">
        <v>42845</v>
      </c>
      <c r="D151" s="13">
        <f t="shared" si="5"/>
        <v>1122914.8709999998</v>
      </c>
      <c r="E151" s="13">
        <v>137082.495</v>
      </c>
      <c r="F151" s="13">
        <v>90554.534</v>
      </c>
      <c r="G151" s="13">
        <v>330047.28499999997</v>
      </c>
      <c r="H151" s="13">
        <v>38760.415999999997</v>
      </c>
      <c r="I151" s="13">
        <v>28085.883999999998</v>
      </c>
      <c r="J151" s="13">
        <v>46653.61</v>
      </c>
      <c r="K151" s="13">
        <v>119143.53</v>
      </c>
      <c r="L151" s="13">
        <v>107928.34699999999</v>
      </c>
      <c r="M151" s="13">
        <v>21496.028999999999</v>
      </c>
      <c r="N151" s="13">
        <v>37979.569000000003</v>
      </c>
      <c r="O151" s="13">
        <v>164978.628</v>
      </c>
      <c r="P151" s="13">
        <v>204.54400000000001</v>
      </c>
    </row>
    <row r="152" spans="1:16" x14ac:dyDescent="0.25">
      <c r="A152" s="16">
        <v>42832</v>
      </c>
      <c r="B152" s="15">
        <v>42846</v>
      </c>
      <c r="C152" s="15">
        <v>42859</v>
      </c>
      <c r="D152" s="13">
        <f t="shared" si="5"/>
        <v>1142797.3320000002</v>
      </c>
      <c r="E152" s="13">
        <v>140751.758</v>
      </c>
      <c r="F152" s="13">
        <v>91345.691999999995</v>
      </c>
      <c r="G152" s="13">
        <v>336007.74699999997</v>
      </c>
      <c r="H152" s="13">
        <v>37290.523000000001</v>
      </c>
      <c r="I152" s="13">
        <v>28979.937999999998</v>
      </c>
      <c r="J152" s="13">
        <v>47884.093999999997</v>
      </c>
      <c r="K152" s="13">
        <v>120441.755</v>
      </c>
      <c r="L152" s="13">
        <v>110354.19500000001</v>
      </c>
      <c r="M152" s="13">
        <v>21852.152999999998</v>
      </c>
      <c r="N152" s="13">
        <v>38756.173999999999</v>
      </c>
      <c r="O152" s="13">
        <v>168925.34700000001</v>
      </c>
      <c r="P152" s="13">
        <v>207.95599999999999</v>
      </c>
    </row>
    <row r="153" spans="1:16" x14ac:dyDescent="0.25">
      <c r="A153" s="16">
        <v>42846</v>
      </c>
      <c r="B153" s="15">
        <v>42860</v>
      </c>
      <c r="C153" s="15">
        <v>42876</v>
      </c>
      <c r="D153" s="13">
        <f t="shared" si="5"/>
        <v>1138962.0189999999</v>
      </c>
      <c r="E153" s="13">
        <v>145834.01500000001</v>
      </c>
      <c r="F153" s="13">
        <v>91946.714000000007</v>
      </c>
      <c r="G153" s="13">
        <v>337763.103</v>
      </c>
      <c r="H153" s="13">
        <v>34902.091</v>
      </c>
      <c r="I153" s="13">
        <v>29438.659</v>
      </c>
      <c r="J153" s="13">
        <v>46596.959000000003</v>
      </c>
      <c r="K153" s="13">
        <v>117497.575</v>
      </c>
      <c r="L153" s="13">
        <v>110040.992</v>
      </c>
      <c r="M153" s="13">
        <v>20731.906999999999</v>
      </c>
      <c r="N153" s="13">
        <v>38692.764999999999</v>
      </c>
      <c r="O153" s="13">
        <v>165316.62299999999</v>
      </c>
      <c r="P153" s="13">
        <v>200.61600000000001</v>
      </c>
    </row>
    <row r="154" spans="1:16" x14ac:dyDescent="0.25">
      <c r="A154" s="16">
        <v>42860</v>
      </c>
      <c r="B154" s="15">
        <v>42877</v>
      </c>
      <c r="C154" s="15">
        <v>42887</v>
      </c>
      <c r="D154" s="13">
        <f t="shared" si="5"/>
        <v>1131510.987</v>
      </c>
      <c r="E154" s="13">
        <v>150429.66500000001</v>
      </c>
      <c r="F154" s="13">
        <v>88779.903999999995</v>
      </c>
      <c r="G154" s="13">
        <v>336380.99099999998</v>
      </c>
      <c r="H154" s="13">
        <v>35237.650999999998</v>
      </c>
      <c r="I154" s="13">
        <v>28818.541000000001</v>
      </c>
      <c r="J154" s="13">
        <v>46155.639000000003</v>
      </c>
      <c r="K154" s="13">
        <v>116468.245</v>
      </c>
      <c r="L154" s="13">
        <v>107569.34600000001</v>
      </c>
      <c r="M154" s="13">
        <v>20051.648000000001</v>
      </c>
      <c r="N154" s="13">
        <v>38203.749000000003</v>
      </c>
      <c r="O154" s="13">
        <v>163245.87299999999</v>
      </c>
      <c r="P154" s="13">
        <v>169.73500000000001</v>
      </c>
    </row>
    <row r="155" spans="1:16" x14ac:dyDescent="0.25">
      <c r="A155" s="16">
        <v>42873</v>
      </c>
      <c r="B155" s="15">
        <v>42888</v>
      </c>
      <c r="C155" s="15">
        <v>42901</v>
      </c>
      <c r="D155" s="13">
        <f t="shared" si="5"/>
        <v>1134569.165</v>
      </c>
      <c r="E155" s="13">
        <v>149495.462</v>
      </c>
      <c r="F155" s="13">
        <v>81218.551000000007</v>
      </c>
      <c r="G155" s="13">
        <v>346210.03100000002</v>
      </c>
      <c r="H155" s="13">
        <v>34962.830999999998</v>
      </c>
      <c r="I155" s="13">
        <v>28701.154999999999</v>
      </c>
      <c r="J155" s="13">
        <v>46784.078000000001</v>
      </c>
      <c r="K155" s="13">
        <v>112688.539</v>
      </c>
      <c r="L155" s="13">
        <v>108871.649</v>
      </c>
      <c r="M155" s="13">
        <v>20805.062999999998</v>
      </c>
      <c r="N155" s="13">
        <v>38043.862999999998</v>
      </c>
      <c r="O155" s="13">
        <v>166590.60800000001</v>
      </c>
      <c r="P155" s="13">
        <v>197.33500000000001</v>
      </c>
    </row>
    <row r="156" spans="1:16" x14ac:dyDescent="0.25">
      <c r="A156" s="16">
        <v>42888</v>
      </c>
      <c r="B156" s="15">
        <v>42902</v>
      </c>
      <c r="C156" s="15">
        <v>42915</v>
      </c>
      <c r="D156" s="13">
        <f t="shared" si="5"/>
        <v>1144806.9080000001</v>
      </c>
      <c r="E156" s="13">
        <v>157694.32999999999</v>
      </c>
      <c r="F156" s="13">
        <v>87713.517000000007</v>
      </c>
      <c r="G156" s="13">
        <v>341734.44500000001</v>
      </c>
      <c r="H156" s="13">
        <v>37198.332000000002</v>
      </c>
      <c r="I156" s="13">
        <v>28310.201000000001</v>
      </c>
      <c r="J156" s="13">
        <v>46613.137000000002</v>
      </c>
      <c r="K156" s="13">
        <v>110862.32</v>
      </c>
      <c r="L156" s="13">
        <v>108465.88499999999</v>
      </c>
      <c r="M156" s="13">
        <v>21589.048999999999</v>
      </c>
      <c r="N156" s="13">
        <v>37827.487000000001</v>
      </c>
      <c r="O156" s="13">
        <v>166544.61499999999</v>
      </c>
      <c r="P156" s="13">
        <v>253.59</v>
      </c>
    </row>
    <row r="157" spans="1:16" x14ac:dyDescent="0.25">
      <c r="A157" s="16">
        <v>42902</v>
      </c>
      <c r="B157" s="15">
        <v>42916</v>
      </c>
      <c r="C157" s="15">
        <v>42929</v>
      </c>
      <c r="D157" s="13">
        <f t="shared" si="5"/>
        <v>1142487.6510000001</v>
      </c>
      <c r="E157" s="13">
        <v>156689.405</v>
      </c>
      <c r="F157" s="13">
        <v>86795.448000000004</v>
      </c>
      <c r="G157" s="13">
        <v>340235.16</v>
      </c>
      <c r="H157" s="13">
        <v>38467.633000000002</v>
      </c>
      <c r="I157" s="13">
        <v>27913.812999999998</v>
      </c>
      <c r="J157" s="13">
        <v>45881.609000000004</v>
      </c>
      <c r="K157" s="13">
        <v>114412.413</v>
      </c>
      <c r="L157" s="13">
        <v>108108.659</v>
      </c>
      <c r="M157" s="13">
        <v>22423.024000000001</v>
      </c>
      <c r="N157" s="13">
        <v>37234.745999999999</v>
      </c>
      <c r="O157" s="13">
        <v>164069.80499999999</v>
      </c>
      <c r="P157" s="13">
        <v>255.93600000000001</v>
      </c>
    </row>
    <row r="158" spans="1:16" x14ac:dyDescent="0.25">
      <c r="A158" s="16">
        <v>42916</v>
      </c>
      <c r="B158" s="15">
        <v>42930</v>
      </c>
      <c r="C158" s="15">
        <v>42943</v>
      </c>
      <c r="D158" s="13">
        <f t="shared" si="5"/>
        <v>1139838.7650000001</v>
      </c>
      <c r="E158" s="13">
        <v>154801.552</v>
      </c>
      <c r="F158" s="13">
        <v>86304.099000000002</v>
      </c>
      <c r="G158" s="13">
        <v>336733.962</v>
      </c>
      <c r="H158" s="13">
        <v>39338.421000000002</v>
      </c>
      <c r="I158" s="13">
        <v>28182.455999999998</v>
      </c>
      <c r="J158" s="13">
        <v>46893.531000000003</v>
      </c>
      <c r="K158" s="13">
        <v>113487.476</v>
      </c>
      <c r="L158" s="13">
        <v>107713.82799999999</v>
      </c>
      <c r="M158" s="13">
        <v>22274.379000000001</v>
      </c>
      <c r="N158" s="13">
        <v>35755</v>
      </c>
      <c r="O158" s="13">
        <v>168146.62</v>
      </c>
      <c r="P158" s="13">
        <v>207.441</v>
      </c>
    </row>
    <row r="159" spans="1:16" x14ac:dyDescent="0.25">
      <c r="A159" s="16">
        <v>42930</v>
      </c>
      <c r="B159" s="15">
        <v>42944</v>
      </c>
      <c r="C159" s="15">
        <v>42957</v>
      </c>
      <c r="D159" s="13">
        <f t="shared" si="5"/>
        <v>1147554.9110000001</v>
      </c>
      <c r="E159" s="13">
        <v>151470.258</v>
      </c>
      <c r="F159" s="13">
        <v>83028.091</v>
      </c>
      <c r="G159" s="13">
        <v>342866.93599999999</v>
      </c>
      <c r="H159" s="13">
        <v>39846.330999999998</v>
      </c>
      <c r="I159" s="13">
        <v>28112.907999999999</v>
      </c>
      <c r="J159" s="13">
        <v>48291.824000000001</v>
      </c>
      <c r="K159" s="13">
        <v>113514.43799999999</v>
      </c>
      <c r="L159" s="13">
        <v>111454.30499999999</v>
      </c>
      <c r="M159" s="13">
        <v>21818.483</v>
      </c>
      <c r="N159" s="13">
        <v>36113.144</v>
      </c>
      <c r="O159" s="13">
        <v>170839.97700000001</v>
      </c>
      <c r="P159" s="13">
        <v>198.21600000000001</v>
      </c>
    </row>
    <row r="160" spans="1:16" x14ac:dyDescent="0.25">
      <c r="A160" s="16">
        <v>42944</v>
      </c>
      <c r="B160" s="15">
        <v>42958</v>
      </c>
      <c r="C160" s="15">
        <v>42971</v>
      </c>
      <c r="D160" s="13">
        <f t="shared" si="5"/>
        <v>1140820.0349999999</v>
      </c>
      <c r="E160" s="13">
        <v>151719.71100000001</v>
      </c>
      <c r="F160" s="13">
        <v>85183.811000000002</v>
      </c>
      <c r="G160" s="13">
        <v>337689.951</v>
      </c>
      <c r="H160" s="13">
        <v>40446.328000000001</v>
      </c>
      <c r="I160" s="13">
        <v>27901.175999999999</v>
      </c>
      <c r="J160" s="13">
        <v>48938.822</v>
      </c>
      <c r="K160" s="13">
        <v>115294.264</v>
      </c>
      <c r="L160" s="13">
        <v>108131.54300000001</v>
      </c>
      <c r="M160" s="13">
        <v>22294.621999999999</v>
      </c>
      <c r="N160" s="13">
        <v>36206.633999999998</v>
      </c>
      <c r="O160" s="13">
        <v>166782.69099999999</v>
      </c>
      <c r="P160" s="13">
        <v>230.482</v>
      </c>
    </row>
    <row r="161" spans="1:16" x14ac:dyDescent="0.25">
      <c r="A161" s="16">
        <v>42958</v>
      </c>
      <c r="B161" s="15">
        <v>42972</v>
      </c>
      <c r="C161" s="15">
        <v>42985</v>
      </c>
      <c r="D161" s="13">
        <f t="shared" si="5"/>
        <v>1146965.0690000001</v>
      </c>
      <c r="E161" s="13">
        <v>151441.05100000001</v>
      </c>
      <c r="F161" s="13">
        <v>82685.714999999997</v>
      </c>
      <c r="G161" s="13">
        <v>341860.85800000001</v>
      </c>
      <c r="H161" s="13">
        <v>41501.012000000002</v>
      </c>
      <c r="I161" s="13">
        <v>27803.087</v>
      </c>
      <c r="J161" s="13">
        <v>49090.682000000001</v>
      </c>
      <c r="K161" s="13">
        <v>118183.91499999999</v>
      </c>
      <c r="L161" s="13">
        <v>109114.72500000001</v>
      </c>
      <c r="M161" s="13">
        <v>22019.35</v>
      </c>
      <c r="N161" s="13">
        <v>36050.000999999997</v>
      </c>
      <c r="O161" s="13">
        <v>166915.15599999999</v>
      </c>
      <c r="P161" s="13">
        <v>299.517</v>
      </c>
    </row>
    <row r="162" spans="1:16" x14ac:dyDescent="0.25">
      <c r="A162" s="16">
        <v>42972</v>
      </c>
      <c r="B162" s="15">
        <v>42986</v>
      </c>
      <c r="C162" s="15">
        <v>42999</v>
      </c>
      <c r="D162" s="13">
        <f t="shared" si="5"/>
        <v>1148034.737</v>
      </c>
      <c r="E162" s="13">
        <v>155939.04999999999</v>
      </c>
      <c r="F162" s="13">
        <v>82360.475999999995</v>
      </c>
      <c r="G162" s="13">
        <v>345588.745</v>
      </c>
      <c r="H162" s="13">
        <v>41979.205999999998</v>
      </c>
      <c r="I162" s="13">
        <v>27471.712</v>
      </c>
      <c r="J162" s="13">
        <v>48804.777999999998</v>
      </c>
      <c r="K162" s="13">
        <v>119335.63800000001</v>
      </c>
      <c r="L162" s="13">
        <v>105484.735</v>
      </c>
      <c r="M162" s="13">
        <v>21098.698</v>
      </c>
      <c r="N162" s="13">
        <v>35109.599999999999</v>
      </c>
      <c r="O162" s="13">
        <v>164481.71400000001</v>
      </c>
      <c r="P162" s="13">
        <v>380.38499999999999</v>
      </c>
    </row>
    <row r="163" spans="1:16" x14ac:dyDescent="0.25">
      <c r="A163" s="16">
        <v>42986</v>
      </c>
      <c r="B163" s="15">
        <v>43000</v>
      </c>
      <c r="C163" s="15">
        <v>43013</v>
      </c>
      <c r="D163" s="13">
        <f t="shared" si="5"/>
        <v>1141323.9890000001</v>
      </c>
      <c r="E163" s="13">
        <v>154194.932</v>
      </c>
      <c r="F163" s="13">
        <v>84287.157999999996</v>
      </c>
      <c r="G163" s="13">
        <v>342789.43599999999</v>
      </c>
      <c r="H163" s="13">
        <v>40486.720000000001</v>
      </c>
      <c r="I163" s="13">
        <v>27457.775000000001</v>
      </c>
      <c r="J163" s="13">
        <v>48405.273000000001</v>
      </c>
      <c r="K163" s="13">
        <v>123275.637</v>
      </c>
      <c r="L163" s="13">
        <v>102633.69100000001</v>
      </c>
      <c r="M163" s="13">
        <v>20854.899000000001</v>
      </c>
      <c r="N163" s="13">
        <v>34581.599000000002</v>
      </c>
      <c r="O163" s="13">
        <v>162024.867</v>
      </c>
      <c r="P163" s="13">
        <v>332.00200000000001</v>
      </c>
    </row>
    <row r="164" spans="1:16" x14ac:dyDescent="0.25">
      <c r="A164" s="16">
        <v>43000</v>
      </c>
      <c r="B164" s="15">
        <v>43014</v>
      </c>
      <c r="C164" s="15">
        <v>43027</v>
      </c>
      <c r="D164" s="13">
        <f t="shared" si="5"/>
        <v>1165293.1310000001</v>
      </c>
      <c r="E164" s="13">
        <v>155277.285</v>
      </c>
      <c r="F164" s="13">
        <v>88515.100999999995</v>
      </c>
      <c r="G164" s="13">
        <v>351690.01299999998</v>
      </c>
      <c r="H164" s="13">
        <v>41121.207000000002</v>
      </c>
      <c r="I164" s="13">
        <v>28521.341</v>
      </c>
      <c r="J164" s="13">
        <v>49196.398999999998</v>
      </c>
      <c r="K164" s="13">
        <v>123724.88400000001</v>
      </c>
      <c r="L164" s="13">
        <v>106885.314</v>
      </c>
      <c r="M164" s="13">
        <v>20651.870999999999</v>
      </c>
      <c r="N164" s="13">
        <v>35967.908000000003</v>
      </c>
      <c r="O164" s="13">
        <v>163430.00399999999</v>
      </c>
      <c r="P164" s="13">
        <v>311.80399999999997</v>
      </c>
    </row>
    <row r="165" spans="1:16" x14ac:dyDescent="0.25">
      <c r="A165" s="16">
        <v>43014</v>
      </c>
      <c r="B165" s="15">
        <v>43028</v>
      </c>
      <c r="C165" s="15">
        <v>43041</v>
      </c>
      <c r="D165" s="13">
        <f t="shared" si="5"/>
        <v>1205361.4679999999</v>
      </c>
      <c r="E165" s="13">
        <v>152874.29500000001</v>
      </c>
      <c r="F165" s="13">
        <v>91339.684999999998</v>
      </c>
      <c r="G165" s="13">
        <v>368718.78100000002</v>
      </c>
      <c r="H165" s="13">
        <v>42486.540999999997</v>
      </c>
      <c r="I165" s="13">
        <v>29906.773000000001</v>
      </c>
      <c r="J165" s="13">
        <v>52818.313000000002</v>
      </c>
      <c r="K165" s="13">
        <v>126241.28200000001</v>
      </c>
      <c r="L165" s="13">
        <v>110826.595</v>
      </c>
      <c r="M165" s="13">
        <v>21690.86</v>
      </c>
      <c r="N165" s="13">
        <v>38240.232000000004</v>
      </c>
      <c r="O165" s="13">
        <v>169898.23499999999</v>
      </c>
      <c r="P165" s="13">
        <v>319.87599999999998</v>
      </c>
    </row>
    <row r="166" spans="1:16" x14ac:dyDescent="0.25">
      <c r="A166" s="16">
        <v>43028</v>
      </c>
      <c r="B166" s="15">
        <v>43042</v>
      </c>
      <c r="C166" s="15">
        <v>43055</v>
      </c>
      <c r="D166" s="13">
        <f t="shared" si="5"/>
        <v>1204755.5970000001</v>
      </c>
      <c r="E166" s="13">
        <v>150476.54</v>
      </c>
      <c r="F166" s="13">
        <v>88862.553</v>
      </c>
      <c r="G166" s="13">
        <v>365218.92800000001</v>
      </c>
      <c r="H166" s="13">
        <v>35921.845000000001</v>
      </c>
      <c r="I166" s="13">
        <v>29433.897000000001</v>
      </c>
      <c r="J166" s="13">
        <v>52208.803999999996</v>
      </c>
      <c r="K166" s="13">
        <v>128279.42600000001</v>
      </c>
      <c r="L166" s="13">
        <v>114772.19</v>
      </c>
      <c r="M166" s="13">
        <v>23746.544000000002</v>
      </c>
      <c r="N166" s="13">
        <v>39713.160000000003</v>
      </c>
      <c r="O166" s="13">
        <v>175770.66200000001</v>
      </c>
      <c r="P166" s="13">
        <v>351.048</v>
      </c>
    </row>
    <row r="167" spans="1:16" x14ac:dyDescent="0.25">
      <c r="A167" s="16">
        <v>43042</v>
      </c>
      <c r="B167" s="15">
        <v>43056</v>
      </c>
      <c r="C167" s="15">
        <v>43069</v>
      </c>
      <c r="D167" s="13">
        <f t="shared" si="5"/>
        <v>1231988.3810000001</v>
      </c>
      <c r="E167" s="13">
        <v>148608.139</v>
      </c>
      <c r="F167" s="13">
        <v>89231.78</v>
      </c>
      <c r="G167" s="13">
        <v>373902.45199999999</v>
      </c>
      <c r="H167" s="13">
        <v>37071.088000000003</v>
      </c>
      <c r="I167" s="13">
        <v>30162.441999999999</v>
      </c>
      <c r="J167" s="13">
        <v>53761.932999999997</v>
      </c>
      <c r="K167" s="13">
        <v>133417.01500000001</v>
      </c>
      <c r="L167" s="13">
        <v>118794.103</v>
      </c>
      <c r="M167" s="13">
        <v>24951.777999999998</v>
      </c>
      <c r="N167" s="13">
        <v>42168.264999999999</v>
      </c>
      <c r="O167" s="13">
        <v>179649.69899999999</v>
      </c>
      <c r="P167" s="13">
        <v>269.68700000000001</v>
      </c>
    </row>
    <row r="168" spans="1:16" x14ac:dyDescent="0.25">
      <c r="A168" s="16">
        <v>43056</v>
      </c>
      <c r="B168" s="15">
        <v>43070</v>
      </c>
      <c r="C168" s="15">
        <v>43083</v>
      </c>
      <c r="D168" s="13">
        <f t="shared" si="5"/>
        <v>1256923.8529999999</v>
      </c>
      <c r="E168" s="13">
        <v>154283.462</v>
      </c>
      <c r="F168" s="13">
        <v>91701.474000000002</v>
      </c>
      <c r="G168" s="13">
        <v>379615.48800000001</v>
      </c>
      <c r="H168" s="13">
        <v>37261.345999999998</v>
      </c>
      <c r="I168" s="13">
        <v>32274.15</v>
      </c>
      <c r="J168" s="13">
        <v>55045.315999999999</v>
      </c>
      <c r="K168" s="13">
        <v>136028.70499999999</v>
      </c>
      <c r="L168" s="13">
        <v>121678.216</v>
      </c>
      <c r="M168" s="13">
        <v>25353.144</v>
      </c>
      <c r="N168" s="13">
        <v>42730.017</v>
      </c>
      <c r="O168" s="13">
        <v>180672.247</v>
      </c>
      <c r="P168" s="13">
        <v>280.28800000000001</v>
      </c>
    </row>
    <row r="169" spans="1:16" x14ac:dyDescent="0.25">
      <c r="A169" s="16">
        <v>43070</v>
      </c>
      <c r="B169" s="15">
        <v>43084</v>
      </c>
      <c r="C169" s="15">
        <v>43097</v>
      </c>
      <c r="D169" s="13">
        <f t="shared" si="5"/>
        <v>1282343.551</v>
      </c>
      <c r="E169" s="13">
        <v>160050.21100000001</v>
      </c>
      <c r="F169" s="13">
        <v>95262.028000000006</v>
      </c>
      <c r="G169" s="13">
        <v>385972.864</v>
      </c>
      <c r="H169" s="13">
        <v>36534.540999999997</v>
      </c>
      <c r="I169" s="13">
        <v>32745.708999999999</v>
      </c>
      <c r="J169" s="13">
        <v>56834.803</v>
      </c>
      <c r="K169" s="13">
        <v>136061.084</v>
      </c>
      <c r="L169" s="13">
        <v>124488.121</v>
      </c>
      <c r="M169" s="13">
        <v>26211.030999999999</v>
      </c>
      <c r="N169" s="13">
        <v>43444.534</v>
      </c>
      <c r="O169" s="13">
        <v>184487.06299999999</v>
      </c>
      <c r="P169" s="13">
        <v>251.56200000000001</v>
      </c>
    </row>
    <row r="170" spans="1:16" x14ac:dyDescent="0.25">
      <c r="A170" s="16">
        <v>43084</v>
      </c>
      <c r="B170" s="15">
        <v>43098</v>
      </c>
      <c r="C170" s="15">
        <v>43111</v>
      </c>
      <c r="D170" s="13">
        <f t="shared" si="5"/>
        <v>1252996.1569999997</v>
      </c>
      <c r="E170" s="13">
        <v>164081.80300000001</v>
      </c>
      <c r="F170" s="13">
        <v>97007.338000000003</v>
      </c>
      <c r="G170" s="13">
        <v>373480.22200000001</v>
      </c>
      <c r="H170" s="13">
        <v>34518.949999999997</v>
      </c>
      <c r="I170" s="13">
        <v>31656.94</v>
      </c>
      <c r="J170" s="13">
        <v>55239.205999999998</v>
      </c>
      <c r="K170" s="13">
        <v>130915.841</v>
      </c>
      <c r="L170" s="13">
        <v>119144.352</v>
      </c>
      <c r="M170" s="13">
        <v>25081.417000000001</v>
      </c>
      <c r="N170" s="13">
        <v>45737.811999999998</v>
      </c>
      <c r="O170" s="13">
        <v>175787.41</v>
      </c>
      <c r="P170" s="13">
        <v>344.86599999999999</v>
      </c>
    </row>
    <row r="171" spans="1:16" x14ac:dyDescent="0.25">
      <c r="A171" s="16">
        <v>43098</v>
      </c>
      <c r="B171" s="15">
        <v>43112</v>
      </c>
      <c r="C171" s="15">
        <v>43125</v>
      </c>
      <c r="D171" s="13">
        <f t="shared" si="5"/>
        <v>1259140.8029999998</v>
      </c>
      <c r="E171" s="13">
        <v>170473.258</v>
      </c>
      <c r="F171" s="13">
        <v>94432.582999999999</v>
      </c>
      <c r="G171" s="13">
        <v>371320.63799999998</v>
      </c>
      <c r="H171" s="13">
        <v>32738.508999999998</v>
      </c>
      <c r="I171" s="13">
        <v>34500.792000000001</v>
      </c>
      <c r="J171" s="13">
        <v>56822.836000000003</v>
      </c>
      <c r="K171" s="13">
        <v>126016.64599999999</v>
      </c>
      <c r="L171" s="13">
        <v>118547.96</v>
      </c>
      <c r="M171" s="13">
        <v>26655.32</v>
      </c>
      <c r="N171" s="13">
        <v>46899.476999999999</v>
      </c>
      <c r="O171" s="13">
        <v>180429.24400000001</v>
      </c>
      <c r="P171" s="13">
        <v>303.54000000000002</v>
      </c>
    </row>
    <row r="172" spans="1:16" x14ac:dyDescent="0.25">
      <c r="A172" s="16">
        <v>43112</v>
      </c>
      <c r="B172" s="15">
        <v>43126</v>
      </c>
      <c r="C172" s="15">
        <v>43139</v>
      </c>
      <c r="D172" s="13">
        <f t="shared" si="5"/>
        <v>1260971.9400000002</v>
      </c>
      <c r="E172" s="13">
        <v>163003.46299999999</v>
      </c>
      <c r="F172" s="13">
        <v>95607.635999999999</v>
      </c>
      <c r="G172" s="13">
        <v>378805.32299999997</v>
      </c>
      <c r="H172" s="13">
        <v>31159.759999999998</v>
      </c>
      <c r="I172" s="13">
        <v>34778.222999999998</v>
      </c>
      <c r="J172" s="13">
        <v>56062.58</v>
      </c>
      <c r="K172" s="13">
        <v>130089.75</v>
      </c>
      <c r="L172" s="13">
        <v>118384.174</v>
      </c>
      <c r="M172" s="13">
        <v>26069.398000000001</v>
      </c>
      <c r="N172" s="13">
        <v>46350.576999999997</v>
      </c>
      <c r="O172" s="13">
        <v>180353.321</v>
      </c>
      <c r="P172" s="13">
        <v>307.73500000000001</v>
      </c>
    </row>
    <row r="173" spans="1:16" x14ac:dyDescent="0.25">
      <c r="A173" s="16">
        <v>43126</v>
      </c>
      <c r="B173" s="15">
        <v>43140</v>
      </c>
      <c r="C173" s="15">
        <v>43153</v>
      </c>
      <c r="D173" s="13">
        <f t="shared" si="5"/>
        <v>1274157.5020000001</v>
      </c>
      <c r="E173" s="13">
        <v>166487.84400000001</v>
      </c>
      <c r="F173" s="13">
        <v>91385.69</v>
      </c>
      <c r="G173" s="13">
        <v>389322.15500000003</v>
      </c>
      <c r="H173" s="13">
        <v>30797.292000000001</v>
      </c>
      <c r="I173" s="13">
        <v>35404.470999999998</v>
      </c>
      <c r="J173" s="13">
        <v>57477.504000000001</v>
      </c>
      <c r="K173" s="13">
        <v>131304.17000000001</v>
      </c>
      <c r="L173" s="13">
        <v>118913.2</v>
      </c>
      <c r="M173" s="13">
        <v>25190.151999999998</v>
      </c>
      <c r="N173" s="13">
        <v>46124.690999999999</v>
      </c>
      <c r="O173" s="13">
        <v>181470.696</v>
      </c>
      <c r="P173" s="13">
        <v>279.637</v>
      </c>
    </row>
    <row r="174" spans="1:16" x14ac:dyDescent="0.25">
      <c r="A174" s="15">
        <v>43140</v>
      </c>
      <c r="B174" s="15">
        <v>43154</v>
      </c>
      <c r="C174" s="15">
        <v>43167</v>
      </c>
      <c r="D174" s="13">
        <f t="shared" si="5"/>
        <v>1286537.5099999998</v>
      </c>
      <c r="E174" s="13">
        <v>163322.033</v>
      </c>
      <c r="F174" s="13">
        <v>90697.775999999998</v>
      </c>
      <c r="G174" s="13">
        <v>393708.31199999998</v>
      </c>
      <c r="H174" s="13">
        <v>30599.207999999999</v>
      </c>
      <c r="I174" s="13">
        <v>36652.404000000002</v>
      </c>
      <c r="J174" s="13">
        <v>57919.087</v>
      </c>
      <c r="K174" s="13">
        <v>132922.71</v>
      </c>
      <c r="L174" s="13">
        <v>122071.689</v>
      </c>
      <c r="M174" s="13">
        <v>23953.255000000001</v>
      </c>
      <c r="N174" s="13">
        <v>48049.703000000001</v>
      </c>
      <c r="O174" s="13">
        <v>186332.99400000001</v>
      </c>
      <c r="P174" s="13">
        <v>308.339</v>
      </c>
    </row>
    <row r="175" spans="1:16" x14ac:dyDescent="0.25">
      <c r="A175" s="15">
        <v>43154</v>
      </c>
      <c r="B175" s="15">
        <v>43168</v>
      </c>
      <c r="C175" s="15">
        <v>43181</v>
      </c>
      <c r="D175" s="13">
        <f t="shared" si="5"/>
        <v>1293310.47</v>
      </c>
      <c r="E175" s="13">
        <v>166112.405</v>
      </c>
      <c r="F175" s="13">
        <v>98980.77</v>
      </c>
      <c r="G175" s="13">
        <v>391306.22499999998</v>
      </c>
      <c r="H175" s="13">
        <v>30938.124</v>
      </c>
      <c r="I175" s="13">
        <v>36524.565000000002</v>
      </c>
      <c r="J175" s="13">
        <v>58489.538999999997</v>
      </c>
      <c r="K175" s="13">
        <v>132324.36199999999</v>
      </c>
      <c r="L175" s="13">
        <v>121693.73299999999</v>
      </c>
      <c r="M175" s="13">
        <v>23306.825000000001</v>
      </c>
      <c r="N175" s="13">
        <v>47494.442000000003</v>
      </c>
      <c r="O175" s="13">
        <v>185830.514</v>
      </c>
      <c r="P175" s="13">
        <v>308.96600000000001</v>
      </c>
    </row>
    <row r="176" spans="1:16" x14ac:dyDescent="0.25">
      <c r="A176" s="15">
        <v>43168</v>
      </c>
      <c r="B176" s="15">
        <v>43182</v>
      </c>
      <c r="C176" s="15">
        <v>43195</v>
      </c>
      <c r="D176" s="13">
        <f t="shared" si="5"/>
        <v>1298960.5639999998</v>
      </c>
      <c r="E176" s="13">
        <v>164952.834</v>
      </c>
      <c r="F176" s="13">
        <v>95279.778999999995</v>
      </c>
      <c r="G176" s="13">
        <v>396654.56599999999</v>
      </c>
      <c r="H176" s="13">
        <v>31460.311000000002</v>
      </c>
      <c r="I176" s="13">
        <v>36803.241000000002</v>
      </c>
      <c r="J176" s="13">
        <v>59838.758999999998</v>
      </c>
      <c r="K176" s="13">
        <v>135438.95600000001</v>
      </c>
      <c r="L176" s="13">
        <v>123167.519</v>
      </c>
      <c r="M176" s="13">
        <v>23218.157999999999</v>
      </c>
      <c r="N176" s="13">
        <v>47265.802000000003</v>
      </c>
      <c r="O176" s="13">
        <v>184575.62400000001</v>
      </c>
      <c r="P176" s="13">
        <v>305.01499999999999</v>
      </c>
    </row>
    <row r="177" spans="1:17" x14ac:dyDescent="0.25">
      <c r="A177" s="15">
        <v>43182</v>
      </c>
      <c r="B177" s="15">
        <v>43196</v>
      </c>
      <c r="C177" s="15">
        <v>43209</v>
      </c>
      <c r="D177" s="13">
        <f t="shared" si="5"/>
        <v>1322166.73</v>
      </c>
      <c r="E177" s="13">
        <v>164381.67000000001</v>
      </c>
      <c r="F177" s="13">
        <v>95796.418000000005</v>
      </c>
      <c r="G177" s="13">
        <v>404259.80200000003</v>
      </c>
      <c r="H177" s="13">
        <v>32215.626</v>
      </c>
      <c r="I177" s="13">
        <v>38426.877999999997</v>
      </c>
      <c r="J177" s="13">
        <v>61935.993999999999</v>
      </c>
      <c r="K177" s="13">
        <v>137606.22399999999</v>
      </c>
      <c r="L177" s="13">
        <v>125785.128</v>
      </c>
      <c r="M177" s="13">
        <v>23187.460999999999</v>
      </c>
      <c r="N177" s="13">
        <v>47934.81</v>
      </c>
      <c r="O177" s="13">
        <v>190331.82800000001</v>
      </c>
      <c r="P177" s="13">
        <v>304.89100000000002</v>
      </c>
    </row>
    <row r="178" spans="1:17" x14ac:dyDescent="0.25">
      <c r="A178" s="15">
        <v>43196</v>
      </c>
      <c r="B178" s="15">
        <v>43210</v>
      </c>
      <c r="C178" s="15">
        <v>43223</v>
      </c>
      <c r="D178" s="13">
        <f t="shared" si="5"/>
        <v>1348005.4450000001</v>
      </c>
      <c r="E178" s="13">
        <v>164577.44099999999</v>
      </c>
      <c r="F178" s="13">
        <v>95352.485000000001</v>
      </c>
      <c r="G178" s="13">
        <v>410900.712</v>
      </c>
      <c r="H178" s="13">
        <v>33417.385999999999</v>
      </c>
      <c r="I178" s="13">
        <v>40592.669000000002</v>
      </c>
      <c r="J178" s="13">
        <v>62691.408000000003</v>
      </c>
      <c r="K178" s="13">
        <v>139563.84599999999</v>
      </c>
      <c r="L178" s="13">
        <v>127602.91</v>
      </c>
      <c r="M178" s="13">
        <v>24512.018</v>
      </c>
      <c r="N178" s="13">
        <v>49346.222000000002</v>
      </c>
      <c r="O178" s="13">
        <v>199140.321</v>
      </c>
      <c r="P178" s="13">
        <v>308.02699999999999</v>
      </c>
    </row>
    <row r="179" spans="1:17" x14ac:dyDescent="0.25">
      <c r="A179" s="15">
        <v>43210</v>
      </c>
      <c r="B179" s="15">
        <v>43224</v>
      </c>
      <c r="C179" s="15">
        <v>43237</v>
      </c>
      <c r="D179" s="13">
        <f t="shared" si="5"/>
        <v>1364538.773</v>
      </c>
      <c r="E179" s="13">
        <v>170781.13200000001</v>
      </c>
      <c r="F179" s="13">
        <v>99571.069000000003</v>
      </c>
      <c r="G179" s="13">
        <v>412813.63</v>
      </c>
      <c r="H179" s="13">
        <v>33417.887000000002</v>
      </c>
      <c r="I179" s="13">
        <v>40902.773000000001</v>
      </c>
      <c r="J179" s="13">
        <v>63401.358999999997</v>
      </c>
      <c r="K179" s="13">
        <v>141825.83300000001</v>
      </c>
      <c r="L179" s="13">
        <v>131073.54399999999</v>
      </c>
      <c r="M179" s="13">
        <v>24523.563999999998</v>
      </c>
      <c r="N179" s="13">
        <v>49391.627</v>
      </c>
      <c r="O179" s="13">
        <v>196576.95</v>
      </c>
      <c r="P179" s="13">
        <v>259.40499999999997</v>
      </c>
    </row>
    <row r="180" spans="1:17" x14ac:dyDescent="0.25">
      <c r="A180" s="15">
        <v>43224</v>
      </c>
      <c r="B180" s="15">
        <v>43238</v>
      </c>
      <c r="C180" s="15">
        <v>43251</v>
      </c>
      <c r="D180" s="13">
        <f t="shared" si="5"/>
        <v>1402044.176</v>
      </c>
      <c r="E180" s="13">
        <v>174908.726</v>
      </c>
      <c r="F180" s="13">
        <v>97706.141000000003</v>
      </c>
      <c r="G180" s="13">
        <v>424553.39199999999</v>
      </c>
      <c r="H180" s="13">
        <v>34657.785000000003</v>
      </c>
      <c r="I180" s="13">
        <v>42136.576999999997</v>
      </c>
      <c r="J180" s="13">
        <v>64653.275000000001</v>
      </c>
      <c r="K180" s="13">
        <v>146949.951</v>
      </c>
      <c r="L180" s="13">
        <v>136519.87</v>
      </c>
      <c r="M180" s="13">
        <v>25482.866999999998</v>
      </c>
      <c r="N180" s="13">
        <v>50557.319000000003</v>
      </c>
      <c r="O180" s="13">
        <v>203501.91</v>
      </c>
      <c r="P180" s="13">
        <v>416.363</v>
      </c>
    </row>
    <row r="181" spans="1:17" x14ac:dyDescent="0.25">
      <c r="A181" s="15">
        <v>43238</v>
      </c>
      <c r="B181" s="15">
        <v>43252</v>
      </c>
      <c r="C181" s="15">
        <v>43268</v>
      </c>
      <c r="D181" s="13">
        <f t="shared" si="5"/>
        <v>1479489.25</v>
      </c>
      <c r="E181" s="13">
        <v>186311.69200000001</v>
      </c>
      <c r="F181" s="13">
        <v>93182.823000000004</v>
      </c>
      <c r="G181" s="13">
        <v>457943.84600000002</v>
      </c>
      <c r="H181" s="13">
        <v>36616.406000000003</v>
      </c>
      <c r="I181" s="13">
        <v>43039.294000000002</v>
      </c>
      <c r="J181" s="13">
        <v>67530.922000000006</v>
      </c>
      <c r="K181" s="13">
        <v>155024.31599999999</v>
      </c>
      <c r="L181" s="13">
        <v>143643.69099999999</v>
      </c>
      <c r="M181" s="13">
        <v>28208.055</v>
      </c>
      <c r="N181" s="13">
        <v>52789.671999999999</v>
      </c>
      <c r="O181" s="13">
        <v>214914.83</v>
      </c>
      <c r="P181" s="13">
        <v>283.70299999999997</v>
      </c>
    </row>
    <row r="182" spans="1:17" x14ac:dyDescent="0.25">
      <c r="A182" s="15">
        <v>43252</v>
      </c>
      <c r="B182" s="15">
        <v>43269</v>
      </c>
      <c r="C182" s="15">
        <v>43279</v>
      </c>
      <c r="D182" s="13">
        <f t="shared" si="5"/>
        <v>1494650.7649999999</v>
      </c>
      <c r="E182" s="13">
        <v>202083.01</v>
      </c>
      <c r="F182" s="13">
        <v>99006.32</v>
      </c>
      <c r="G182" s="13">
        <v>448509.06300000002</v>
      </c>
      <c r="H182" s="13">
        <v>37935.231</v>
      </c>
      <c r="I182" s="13">
        <v>42659.565000000002</v>
      </c>
      <c r="J182" s="13">
        <v>67726.649000000005</v>
      </c>
      <c r="K182" s="13">
        <v>156606.609</v>
      </c>
      <c r="L182" s="13">
        <v>143008.17300000001</v>
      </c>
      <c r="M182" s="13">
        <v>28574.775999999998</v>
      </c>
      <c r="N182" s="13">
        <v>48071.77</v>
      </c>
      <c r="O182" s="13">
        <v>220117.92199999999</v>
      </c>
      <c r="P182" s="13">
        <v>351.67700000000002</v>
      </c>
    </row>
    <row r="183" spans="1:17" ht="15.75" customHeight="1" x14ac:dyDescent="0.25">
      <c r="A183" s="15">
        <v>43265</v>
      </c>
      <c r="B183" s="15">
        <v>43280</v>
      </c>
      <c r="C183" s="15">
        <v>43293</v>
      </c>
      <c r="D183" s="13">
        <f t="shared" si="5"/>
        <v>1552688.3909999998</v>
      </c>
      <c r="E183" s="13">
        <v>213588.24799999999</v>
      </c>
      <c r="F183" s="13">
        <v>107076.216</v>
      </c>
      <c r="G183" s="13">
        <v>459826.56400000001</v>
      </c>
      <c r="H183" s="13">
        <v>38597.207999999999</v>
      </c>
      <c r="I183" s="13">
        <v>44333.457000000002</v>
      </c>
      <c r="J183" s="13">
        <v>71940.788</v>
      </c>
      <c r="K183" s="13">
        <v>162456.63099999999</v>
      </c>
      <c r="L183" s="13">
        <v>146973.88200000001</v>
      </c>
      <c r="M183" s="13">
        <v>28893.572</v>
      </c>
      <c r="N183" s="13">
        <v>49673.726000000002</v>
      </c>
      <c r="O183" s="13">
        <v>229032.196</v>
      </c>
      <c r="P183" s="13">
        <v>295.90300000000002</v>
      </c>
    </row>
    <row r="184" spans="1:17" x14ac:dyDescent="0.25">
      <c r="A184" s="15">
        <v>43280</v>
      </c>
      <c r="B184" s="15">
        <v>43294</v>
      </c>
      <c r="C184" s="15">
        <v>43307</v>
      </c>
      <c r="D184" s="13">
        <f t="shared" si="5"/>
        <v>1501773.1139999998</v>
      </c>
      <c r="E184" s="13">
        <v>208941.427</v>
      </c>
      <c r="F184" s="13">
        <v>96395.880999999994</v>
      </c>
      <c r="G184" s="13">
        <v>447014.68400000001</v>
      </c>
      <c r="H184" s="13">
        <v>36577.184000000001</v>
      </c>
      <c r="I184" s="13">
        <v>41544.957999999999</v>
      </c>
      <c r="J184" s="13">
        <v>71008.048999999999</v>
      </c>
      <c r="K184" s="13">
        <v>154946.93299999999</v>
      </c>
      <c r="L184" s="13">
        <v>143156.481</v>
      </c>
      <c r="M184" s="13">
        <v>28280.484</v>
      </c>
      <c r="N184" s="13">
        <v>48848.343000000001</v>
      </c>
      <c r="O184" s="13">
        <v>224760.44099999999</v>
      </c>
      <c r="P184" s="13">
        <v>298.24900000000002</v>
      </c>
    </row>
    <row r="185" spans="1:17" x14ac:dyDescent="0.25">
      <c r="A185" s="15">
        <v>43294</v>
      </c>
      <c r="B185" s="15">
        <v>43308</v>
      </c>
      <c r="C185" s="15">
        <v>43321</v>
      </c>
      <c r="D185" s="13">
        <f t="shared" si="5"/>
        <v>1561212.4889999998</v>
      </c>
      <c r="E185" s="13">
        <v>199379.79</v>
      </c>
      <c r="F185" s="13">
        <v>101603.243</v>
      </c>
      <c r="G185" s="13">
        <v>474405.44799999997</v>
      </c>
      <c r="H185" s="13">
        <v>39148.731</v>
      </c>
      <c r="I185" s="13">
        <v>42865.521999999997</v>
      </c>
      <c r="J185" s="13">
        <v>72539.320999999996</v>
      </c>
      <c r="K185" s="13">
        <v>166646.71799999999</v>
      </c>
      <c r="L185" s="13">
        <v>149365.41</v>
      </c>
      <c r="M185" s="13">
        <v>28913.934000000001</v>
      </c>
      <c r="N185" s="13">
        <v>51019.963000000003</v>
      </c>
      <c r="O185" s="13">
        <v>234951.22399999999</v>
      </c>
      <c r="P185" s="13">
        <v>373.185</v>
      </c>
    </row>
    <row r="186" spans="1:17" x14ac:dyDescent="0.25">
      <c r="A186" s="15">
        <v>43308</v>
      </c>
      <c r="B186" s="15">
        <v>43322</v>
      </c>
      <c r="C186" s="15">
        <v>43338</v>
      </c>
      <c r="D186" s="13">
        <f t="shared" ref="D186:D249" si="6">SUM(E186:P186)</f>
        <v>1568532.0330000001</v>
      </c>
      <c r="E186" s="13">
        <v>203491.231</v>
      </c>
      <c r="F186" s="13">
        <v>100471.94100000001</v>
      </c>
      <c r="G186" s="13">
        <v>481913.02600000001</v>
      </c>
      <c r="H186" s="13">
        <v>39973.811000000002</v>
      </c>
      <c r="I186" s="13">
        <v>43316.188999999998</v>
      </c>
      <c r="J186" s="13">
        <v>72943.445000000007</v>
      </c>
      <c r="K186" s="13">
        <v>164853.976</v>
      </c>
      <c r="L186" s="13">
        <v>146337.125</v>
      </c>
      <c r="M186" s="13">
        <v>28759.492999999999</v>
      </c>
      <c r="N186" s="13">
        <v>50879.722999999998</v>
      </c>
      <c r="O186" s="13">
        <v>235287.23699999999</v>
      </c>
      <c r="P186" s="13">
        <v>304.83600000000001</v>
      </c>
    </row>
    <row r="187" spans="1:17" x14ac:dyDescent="0.25">
      <c r="A187" s="15">
        <v>43322</v>
      </c>
      <c r="B187" s="15">
        <v>43339</v>
      </c>
      <c r="C187" s="15">
        <v>43349</v>
      </c>
      <c r="D187" s="13">
        <f t="shared" si="6"/>
        <v>1749065.0109999999</v>
      </c>
      <c r="E187" s="13">
        <v>232844.636</v>
      </c>
      <c r="F187" s="13">
        <v>111105.548</v>
      </c>
      <c r="G187" s="13">
        <v>531195.10199999996</v>
      </c>
      <c r="H187" s="13">
        <v>45321.406999999999</v>
      </c>
      <c r="I187" s="13">
        <v>48658.985999999997</v>
      </c>
      <c r="J187" s="13">
        <v>81063.922999999995</v>
      </c>
      <c r="K187" s="13">
        <v>186168.58799999999</v>
      </c>
      <c r="L187" s="13">
        <v>163134.46299999999</v>
      </c>
      <c r="M187" s="13">
        <v>32032.966</v>
      </c>
      <c r="N187" s="13">
        <v>54731.677000000003</v>
      </c>
      <c r="O187" s="13">
        <v>262483.43199999997</v>
      </c>
      <c r="P187" s="13">
        <v>324.28300000000002</v>
      </c>
    </row>
    <row r="188" spans="1:17" x14ac:dyDescent="0.25">
      <c r="A188" s="15">
        <v>43332</v>
      </c>
      <c r="B188" s="15">
        <v>43350</v>
      </c>
      <c r="C188" s="15">
        <v>43363</v>
      </c>
      <c r="D188" s="13">
        <f t="shared" si="6"/>
        <v>1874443.7040000004</v>
      </c>
      <c r="E188" s="13">
        <v>240497.264</v>
      </c>
      <c r="F188" s="13">
        <v>126554.371</v>
      </c>
      <c r="G188" s="13">
        <v>556932.05200000003</v>
      </c>
      <c r="H188" s="13">
        <v>47117.913</v>
      </c>
      <c r="I188" s="13">
        <v>51132.572</v>
      </c>
      <c r="J188" s="13">
        <v>88080.706999999995</v>
      </c>
      <c r="K188" s="13">
        <v>200326.57699999999</v>
      </c>
      <c r="L188" s="13">
        <v>179821.00599999999</v>
      </c>
      <c r="M188" s="13">
        <v>35105.050000000003</v>
      </c>
      <c r="N188" s="13">
        <v>57856.053999999996</v>
      </c>
      <c r="O188" s="13">
        <v>290741.14600000001</v>
      </c>
      <c r="P188" s="13">
        <v>278.99200000000002</v>
      </c>
    </row>
    <row r="189" spans="1:17" x14ac:dyDescent="0.25">
      <c r="A189" s="15">
        <v>43350</v>
      </c>
      <c r="B189" s="15">
        <v>43364</v>
      </c>
      <c r="C189" s="15">
        <v>43377</v>
      </c>
      <c r="D189" s="13">
        <f t="shared" si="6"/>
        <v>2018091.949</v>
      </c>
      <c r="E189" s="13">
        <v>270157.65900000004</v>
      </c>
      <c r="F189" s="13">
        <v>140637.10100000002</v>
      </c>
      <c r="G189" s="13">
        <v>592686.67300000007</v>
      </c>
      <c r="H189" s="13">
        <v>49115.165000000001</v>
      </c>
      <c r="I189" s="13">
        <v>55588.519</v>
      </c>
      <c r="J189" s="13">
        <v>96418.146000000008</v>
      </c>
      <c r="K189" s="13">
        <v>197632.14300000001</v>
      </c>
      <c r="L189" s="13">
        <v>195942.99400000001</v>
      </c>
      <c r="M189" s="13">
        <v>38036.608</v>
      </c>
      <c r="N189" s="13">
        <v>62988.300999999999</v>
      </c>
      <c r="O189" s="13">
        <v>318641.20799999998</v>
      </c>
      <c r="P189" s="13">
        <v>247.43199999999999</v>
      </c>
    </row>
    <row r="190" spans="1:17" x14ac:dyDescent="0.25">
      <c r="A190" s="15">
        <v>43364</v>
      </c>
      <c r="B190" s="15">
        <v>43378</v>
      </c>
      <c r="C190" s="15">
        <v>43391</v>
      </c>
      <c r="D190" s="13">
        <f t="shared" si="6"/>
        <v>1916720.6369999999</v>
      </c>
      <c r="E190" s="13">
        <v>270208.83299999998</v>
      </c>
      <c r="F190" s="13">
        <v>129950.76899999999</v>
      </c>
      <c r="G190" s="13">
        <v>573415.57899999991</v>
      </c>
      <c r="H190" s="13">
        <v>46423.642</v>
      </c>
      <c r="I190" s="13">
        <v>47646.050999999999</v>
      </c>
      <c r="J190" s="13">
        <v>91522.354999999996</v>
      </c>
      <c r="K190" s="13">
        <v>182356.976</v>
      </c>
      <c r="L190" s="13">
        <v>179114.55100000001</v>
      </c>
      <c r="M190" s="13">
        <v>34791.974999999999</v>
      </c>
      <c r="N190" s="13">
        <v>58979.139000000003</v>
      </c>
      <c r="O190" s="13">
        <v>301955.56400000001</v>
      </c>
      <c r="P190" s="13">
        <v>355.20299999999997</v>
      </c>
    </row>
    <row r="191" spans="1:17" x14ac:dyDescent="0.25">
      <c r="A191" s="15">
        <v>43378</v>
      </c>
      <c r="B191" s="15">
        <v>43392</v>
      </c>
      <c r="C191" s="15">
        <v>43405</v>
      </c>
      <c r="D191" s="13">
        <f t="shared" si="6"/>
        <v>1827166.2479999999</v>
      </c>
      <c r="E191" s="13">
        <v>258676.49299999999</v>
      </c>
      <c r="F191" s="13">
        <v>116239.736</v>
      </c>
      <c r="G191" s="13">
        <v>567286.20900000003</v>
      </c>
      <c r="H191" s="13">
        <v>44242.972000000002</v>
      </c>
      <c r="I191" s="13">
        <v>43472.993999999999</v>
      </c>
      <c r="J191" s="13">
        <v>86540.245999999999</v>
      </c>
      <c r="K191" s="13">
        <v>168707.55</v>
      </c>
      <c r="L191" s="13">
        <v>158649.747</v>
      </c>
      <c r="M191" s="13">
        <v>32192.235000000001</v>
      </c>
      <c r="N191" s="13">
        <v>55703.091</v>
      </c>
      <c r="O191" s="13">
        <v>295147.54499999998</v>
      </c>
      <c r="P191" s="13">
        <v>307.43</v>
      </c>
    </row>
    <row r="192" spans="1:17" x14ac:dyDescent="0.25">
      <c r="A192" s="15">
        <v>43392</v>
      </c>
      <c r="B192" s="15">
        <v>43406</v>
      </c>
      <c r="C192" s="15">
        <v>43419</v>
      </c>
      <c r="D192" s="13">
        <f t="shared" si="6"/>
        <v>1655213.2189999996</v>
      </c>
      <c r="E192" s="13">
        <v>239744.429</v>
      </c>
      <c r="F192" s="13">
        <v>113320.105</v>
      </c>
      <c r="G192" s="13">
        <v>521756.41</v>
      </c>
      <c r="H192" s="13">
        <v>38475.800000000003</v>
      </c>
      <c r="I192" s="13">
        <v>38585.999000000003</v>
      </c>
      <c r="J192" s="13">
        <v>77317.41</v>
      </c>
      <c r="K192" s="13">
        <v>146808.57199999999</v>
      </c>
      <c r="L192" s="13">
        <v>139125.15299999999</v>
      </c>
      <c r="M192" s="13">
        <v>27313.498</v>
      </c>
      <c r="N192" s="13">
        <v>50405.752999999997</v>
      </c>
      <c r="O192" s="13">
        <v>262045.33199999999</v>
      </c>
      <c r="P192" s="13">
        <v>314.75799999999998</v>
      </c>
      <c r="Q192" s="4"/>
    </row>
    <row r="193" spans="1:17" x14ac:dyDescent="0.25">
      <c r="A193" s="15">
        <v>43406</v>
      </c>
      <c r="B193" s="15">
        <v>43420</v>
      </c>
      <c r="C193" s="15">
        <v>43433</v>
      </c>
      <c r="D193" s="13">
        <f t="shared" si="6"/>
        <v>1655169.558</v>
      </c>
      <c r="E193" s="13">
        <v>242643.00200000001</v>
      </c>
      <c r="F193" s="13">
        <v>117074.288</v>
      </c>
      <c r="G193" s="13">
        <v>524696.28099999996</v>
      </c>
      <c r="H193" s="13">
        <v>37218.940999999999</v>
      </c>
      <c r="I193" s="13">
        <v>37158.322</v>
      </c>
      <c r="J193" s="13">
        <v>75095.094999999987</v>
      </c>
      <c r="K193" s="13">
        <v>145593.38099999999</v>
      </c>
      <c r="L193" s="13">
        <v>142328.114</v>
      </c>
      <c r="M193" s="13">
        <v>23425.152999999998</v>
      </c>
      <c r="N193" s="13">
        <v>50091.553999999996</v>
      </c>
      <c r="O193" s="13">
        <v>259504.785</v>
      </c>
      <c r="P193" s="13">
        <v>340.642</v>
      </c>
      <c r="Q193" s="4"/>
    </row>
    <row r="194" spans="1:17" x14ac:dyDescent="0.25">
      <c r="A194" s="15">
        <v>43420</v>
      </c>
      <c r="B194" s="15">
        <v>43434</v>
      </c>
      <c r="C194" s="15">
        <v>43447</v>
      </c>
      <c r="D194" s="13">
        <f t="shared" si="6"/>
        <v>1606497.6169999999</v>
      </c>
      <c r="E194" s="13">
        <v>238374.44</v>
      </c>
      <c r="F194" s="13">
        <v>116054.827</v>
      </c>
      <c r="G194" s="13">
        <v>515585.97399999999</v>
      </c>
      <c r="H194" s="13">
        <v>36989.03</v>
      </c>
      <c r="I194" s="13">
        <v>35388.807000000001</v>
      </c>
      <c r="J194" s="13">
        <v>72789.292000000001</v>
      </c>
      <c r="K194" s="13">
        <v>136039.717</v>
      </c>
      <c r="L194" s="13">
        <v>133742.33499999999</v>
      </c>
      <c r="M194" s="13">
        <v>21819.74</v>
      </c>
      <c r="N194" s="13">
        <v>47892.88</v>
      </c>
      <c r="O194" s="13">
        <v>251439.25700000001</v>
      </c>
      <c r="P194" s="13">
        <v>381.31799999999998</v>
      </c>
      <c r="Q194" s="4"/>
    </row>
    <row r="195" spans="1:17" x14ac:dyDescent="0.25">
      <c r="A195" s="15">
        <v>43434</v>
      </c>
      <c r="B195" s="15">
        <v>43448</v>
      </c>
      <c r="C195" s="15">
        <v>43461</v>
      </c>
      <c r="D195" s="13">
        <f t="shared" si="6"/>
        <v>1523235.4779999999</v>
      </c>
      <c r="E195" s="13">
        <v>222304.34099999999</v>
      </c>
      <c r="F195" s="13">
        <v>104190.304</v>
      </c>
      <c r="G195" s="13">
        <v>493192.84700000001</v>
      </c>
      <c r="H195" s="13">
        <v>36949.944000000003</v>
      </c>
      <c r="I195" s="13">
        <v>34359.777000000002</v>
      </c>
      <c r="J195" s="13">
        <v>68486.054999999993</v>
      </c>
      <c r="K195" s="13">
        <v>129276.55499999999</v>
      </c>
      <c r="L195" s="13">
        <v>128980.99099999999</v>
      </c>
      <c r="M195" s="13">
        <v>20369.399000000001</v>
      </c>
      <c r="N195" s="13">
        <v>45521.853999999999</v>
      </c>
      <c r="O195" s="13">
        <v>239206.82500000001</v>
      </c>
      <c r="P195" s="13">
        <v>396.58600000000001</v>
      </c>
      <c r="Q195" s="4"/>
    </row>
    <row r="196" spans="1:17" x14ac:dyDescent="0.25">
      <c r="A196" s="15">
        <v>43448</v>
      </c>
      <c r="B196" s="15">
        <v>43462</v>
      </c>
      <c r="C196" s="15">
        <v>43475</v>
      </c>
      <c r="D196" s="13">
        <f t="shared" si="6"/>
        <v>1571721.2380000004</v>
      </c>
      <c r="E196" s="13">
        <v>235541.81099999999</v>
      </c>
      <c r="F196" s="13">
        <v>117659.28599999999</v>
      </c>
      <c r="G196" s="13">
        <v>503530.821</v>
      </c>
      <c r="H196" s="13">
        <v>40088.432000000001</v>
      </c>
      <c r="I196" s="13">
        <v>35514.311999999998</v>
      </c>
      <c r="J196" s="13">
        <v>70308.429000000004</v>
      </c>
      <c r="K196" s="13">
        <v>132013.51300000001</v>
      </c>
      <c r="L196" s="13">
        <v>121455.44899999999</v>
      </c>
      <c r="M196" s="13">
        <v>22221.040000000001</v>
      </c>
      <c r="N196" s="13">
        <v>46936.468000000001</v>
      </c>
      <c r="O196" s="13">
        <v>246046.66099999999</v>
      </c>
      <c r="P196" s="13">
        <v>405.01600000000002</v>
      </c>
      <c r="Q196" s="38"/>
    </row>
    <row r="197" spans="1:17" x14ac:dyDescent="0.25">
      <c r="A197" s="15">
        <v>43462</v>
      </c>
      <c r="B197" s="15">
        <v>43476</v>
      </c>
      <c r="C197" s="15">
        <v>43489</v>
      </c>
      <c r="D197" s="13">
        <f t="shared" si="6"/>
        <v>1559746.8840000001</v>
      </c>
      <c r="E197" s="13">
        <v>241061.65299999999</v>
      </c>
      <c r="F197" s="13">
        <v>115776.156</v>
      </c>
      <c r="G197" s="13">
        <v>495666.967</v>
      </c>
      <c r="H197" s="13">
        <v>42916.207999999999</v>
      </c>
      <c r="I197" s="13">
        <v>34467.267999999996</v>
      </c>
      <c r="J197" s="13">
        <v>65816.764999999999</v>
      </c>
      <c r="K197" s="13">
        <v>127908.383</v>
      </c>
      <c r="L197" s="13">
        <v>124529.092</v>
      </c>
      <c r="M197" s="13">
        <v>21159.367999999999</v>
      </c>
      <c r="N197" s="13">
        <v>43899.067999999999</v>
      </c>
      <c r="O197" s="13">
        <v>246253.867</v>
      </c>
      <c r="P197" s="13">
        <v>292.089</v>
      </c>
      <c r="Q197" s="38"/>
    </row>
    <row r="198" spans="1:17" x14ac:dyDescent="0.25">
      <c r="A198" s="15">
        <v>43476</v>
      </c>
      <c r="B198" s="15">
        <v>43490</v>
      </c>
      <c r="C198" s="15">
        <v>43503</v>
      </c>
      <c r="D198" s="13">
        <f t="shared" si="6"/>
        <v>1610815.6639999996</v>
      </c>
      <c r="E198" s="13">
        <v>238278.06899999999</v>
      </c>
      <c r="F198" s="13">
        <v>112582.408</v>
      </c>
      <c r="G198" s="13">
        <v>534277.15599999996</v>
      </c>
      <c r="H198" s="13">
        <v>44211.925999999999</v>
      </c>
      <c r="I198" s="13">
        <v>35054.574999999997</v>
      </c>
      <c r="J198" s="13">
        <v>68523.967000000004</v>
      </c>
      <c r="K198" s="13">
        <v>129405.63400000001</v>
      </c>
      <c r="L198" s="13">
        <v>128978.765</v>
      </c>
      <c r="M198" s="13">
        <v>20311.285</v>
      </c>
      <c r="N198" s="13">
        <v>44932.917999999998</v>
      </c>
      <c r="O198" s="13">
        <v>253726.30499999999</v>
      </c>
      <c r="P198" s="13">
        <v>532.65599999999995</v>
      </c>
      <c r="Q198" s="38"/>
    </row>
    <row r="199" spans="1:17" ht="15.75" customHeight="1" x14ac:dyDescent="0.25">
      <c r="A199" s="15">
        <v>43490</v>
      </c>
      <c r="B199" s="15">
        <v>43504</v>
      </c>
      <c r="C199" s="15">
        <v>43517</v>
      </c>
      <c r="D199" s="13">
        <f t="shared" si="6"/>
        <v>1571274.08</v>
      </c>
      <c r="E199" s="13">
        <v>242092.633</v>
      </c>
      <c r="F199" s="13">
        <v>111242.033</v>
      </c>
      <c r="G199" s="13">
        <v>525297.82299999997</v>
      </c>
      <c r="H199" s="13">
        <v>43299.303</v>
      </c>
      <c r="I199" s="13">
        <v>31602.243999999999</v>
      </c>
      <c r="J199" s="13">
        <v>64839.942000000003</v>
      </c>
      <c r="K199" s="13">
        <v>122484.099</v>
      </c>
      <c r="L199" s="13">
        <v>123540.053</v>
      </c>
      <c r="M199" s="13">
        <v>19452.379000000001</v>
      </c>
      <c r="N199" s="13">
        <v>43219.35</v>
      </c>
      <c r="O199" s="13">
        <v>244134.37100000001</v>
      </c>
      <c r="P199" s="13">
        <v>69.849999999999994</v>
      </c>
      <c r="Q199" s="23"/>
    </row>
    <row r="200" spans="1:17" x14ac:dyDescent="0.25">
      <c r="A200" s="15">
        <v>43504</v>
      </c>
      <c r="B200" s="15">
        <v>43518</v>
      </c>
      <c r="C200" s="15">
        <v>43531</v>
      </c>
      <c r="D200" s="13">
        <f t="shared" si="6"/>
        <v>1581937.977</v>
      </c>
      <c r="E200" s="13">
        <v>247102.14</v>
      </c>
      <c r="F200" s="13">
        <v>116999.80499999999</v>
      </c>
      <c r="G200" s="13">
        <v>528786.47600000002</v>
      </c>
      <c r="H200" s="13">
        <v>43229.786</v>
      </c>
      <c r="I200" s="13">
        <v>31127.798999999999</v>
      </c>
      <c r="J200" s="13">
        <v>63870.101000000002</v>
      </c>
      <c r="K200" s="13">
        <v>118441.78</v>
      </c>
      <c r="L200" s="13">
        <v>126481.45</v>
      </c>
      <c r="M200" s="13">
        <v>20181.960999999999</v>
      </c>
      <c r="N200" s="13">
        <v>42280.512999999999</v>
      </c>
      <c r="O200" s="13">
        <v>243379.33900000001</v>
      </c>
      <c r="P200" s="13">
        <v>56.826999999999998</v>
      </c>
      <c r="Q200" s="23"/>
    </row>
    <row r="201" spans="1:17" x14ac:dyDescent="0.25">
      <c r="A201" s="15">
        <v>43518</v>
      </c>
      <c r="B201" s="15">
        <v>43532</v>
      </c>
      <c r="C201" s="15">
        <v>43545</v>
      </c>
      <c r="D201" s="13">
        <f t="shared" si="6"/>
        <v>1606809.4820000001</v>
      </c>
      <c r="E201" s="13">
        <v>250231.80300000001</v>
      </c>
      <c r="F201" s="13">
        <v>120316.04700000001</v>
      </c>
      <c r="G201" s="13">
        <v>542542.19099999999</v>
      </c>
      <c r="H201" s="13">
        <v>43276.241000000002</v>
      </c>
      <c r="I201" s="13">
        <v>31441.464</v>
      </c>
      <c r="J201" s="13">
        <v>64287.85</v>
      </c>
      <c r="K201" s="13">
        <v>120100.30899999999</v>
      </c>
      <c r="L201" s="13">
        <v>126087.197</v>
      </c>
      <c r="M201" s="13">
        <v>20466.111000000001</v>
      </c>
      <c r="N201" s="13">
        <v>42475.828000000001</v>
      </c>
      <c r="O201" s="13">
        <v>245529.253</v>
      </c>
      <c r="P201" s="13">
        <v>55.188000000000002</v>
      </c>
      <c r="Q201" s="23"/>
    </row>
    <row r="202" spans="1:17" x14ac:dyDescent="0.25">
      <c r="A202" s="15">
        <v>43532</v>
      </c>
      <c r="B202" s="15">
        <v>43546</v>
      </c>
      <c r="C202" s="15">
        <v>43559</v>
      </c>
      <c r="D202" s="13">
        <f t="shared" si="6"/>
        <v>1651766.7089999998</v>
      </c>
      <c r="E202" s="13">
        <v>257338.351</v>
      </c>
      <c r="F202" s="13">
        <v>129253.432</v>
      </c>
      <c r="G202" s="13">
        <v>556857.29099999997</v>
      </c>
      <c r="H202" s="13">
        <v>44688.279000000002</v>
      </c>
      <c r="I202" s="13">
        <v>32910.909</v>
      </c>
      <c r="J202" s="13">
        <v>64953.964</v>
      </c>
      <c r="K202" s="13">
        <v>119135.355</v>
      </c>
      <c r="L202" s="13">
        <v>125025.24</v>
      </c>
      <c r="M202" s="13">
        <v>20609.031999999999</v>
      </c>
      <c r="N202" s="13">
        <v>44039.792999999998</v>
      </c>
      <c r="O202" s="13">
        <v>256901.67</v>
      </c>
      <c r="P202" s="13">
        <v>53.393000000000001</v>
      </c>
      <c r="Q202" s="23"/>
    </row>
    <row r="203" spans="1:17" x14ac:dyDescent="0.25">
      <c r="A203" s="15">
        <v>43546</v>
      </c>
      <c r="B203" s="15">
        <v>43560</v>
      </c>
      <c r="C203" s="15">
        <v>43573</v>
      </c>
      <c r="D203" s="13">
        <f t="shared" si="6"/>
        <v>1704877.5669999998</v>
      </c>
      <c r="E203" s="13">
        <v>269334.239</v>
      </c>
      <c r="F203" s="13">
        <v>140240.24100000001</v>
      </c>
      <c r="G203" s="13">
        <v>577780.19799999997</v>
      </c>
      <c r="H203" s="13">
        <v>46605.383000000002</v>
      </c>
      <c r="I203" s="13">
        <v>33027.046999999999</v>
      </c>
      <c r="J203" s="13">
        <v>66268.978000000003</v>
      </c>
      <c r="K203" s="13">
        <v>120994.929</v>
      </c>
      <c r="L203" s="13">
        <v>125371.751</v>
      </c>
      <c r="M203" s="13">
        <v>20854.927</v>
      </c>
      <c r="N203" s="13">
        <v>43642.826000000001</v>
      </c>
      <c r="O203" s="13">
        <v>260698.44</v>
      </c>
      <c r="P203" s="13">
        <v>58.607999999999997</v>
      </c>
      <c r="Q203" s="23"/>
    </row>
    <row r="204" spans="1:17" x14ac:dyDescent="0.25">
      <c r="A204" s="15">
        <v>43560</v>
      </c>
      <c r="B204" s="15">
        <v>43574</v>
      </c>
      <c r="C204" s="15">
        <v>43587</v>
      </c>
      <c r="D204" s="13">
        <f t="shared" si="6"/>
        <v>1771674.7799999998</v>
      </c>
      <c r="E204" s="13">
        <v>284913.71899999998</v>
      </c>
      <c r="F204" s="13">
        <v>158960.97700000001</v>
      </c>
      <c r="G204" s="13">
        <v>591163.20799999998</v>
      </c>
      <c r="H204" s="13">
        <v>46014.565000000002</v>
      </c>
      <c r="I204" s="13">
        <v>33804.197999999997</v>
      </c>
      <c r="J204" s="13">
        <v>68329.517999999996</v>
      </c>
      <c r="K204" s="13">
        <v>125719.694</v>
      </c>
      <c r="L204" s="13">
        <v>124593.05100000001</v>
      </c>
      <c r="M204" s="13">
        <v>20796.760999999999</v>
      </c>
      <c r="N204" s="13">
        <v>44843.048999999999</v>
      </c>
      <c r="O204" s="13">
        <v>272458.40600000002</v>
      </c>
      <c r="P204" s="13">
        <v>77.634</v>
      </c>
      <c r="Q204" s="23"/>
    </row>
    <row r="205" spans="1:17" x14ac:dyDescent="0.25">
      <c r="A205" s="15">
        <v>43574</v>
      </c>
      <c r="B205" s="15">
        <v>43588</v>
      </c>
      <c r="C205" s="15">
        <v>43601</v>
      </c>
      <c r="D205" s="13">
        <f t="shared" si="6"/>
        <v>1826129.4879999999</v>
      </c>
      <c r="E205" s="13">
        <v>291132.01</v>
      </c>
      <c r="F205" s="13">
        <v>159391.24600000001</v>
      </c>
      <c r="G205" s="13">
        <v>613034.97</v>
      </c>
      <c r="H205" s="13">
        <v>47085.186999999998</v>
      </c>
      <c r="I205" s="13">
        <v>34411.785000000003</v>
      </c>
      <c r="J205" s="13">
        <v>69209.33</v>
      </c>
      <c r="K205" s="13">
        <v>132748.49600000001</v>
      </c>
      <c r="L205" s="13">
        <v>131165.16899999999</v>
      </c>
      <c r="M205" s="13">
        <v>21149.813999999998</v>
      </c>
      <c r="N205" s="13">
        <v>45979.502999999997</v>
      </c>
      <c r="O205" s="13">
        <v>280745.76500000001</v>
      </c>
      <c r="P205" s="13">
        <v>76.212999999999994</v>
      </c>
      <c r="Q205" s="23"/>
    </row>
    <row r="206" spans="1:17" x14ac:dyDescent="0.25">
      <c r="A206" s="15">
        <v>43588</v>
      </c>
      <c r="B206" s="15">
        <v>43602</v>
      </c>
      <c r="C206" s="15">
        <v>43615</v>
      </c>
      <c r="D206" s="13">
        <f t="shared" si="6"/>
        <v>1841652.5969999998</v>
      </c>
      <c r="E206" s="13">
        <v>297595.78999999998</v>
      </c>
      <c r="F206" s="13">
        <v>146369.05499999999</v>
      </c>
      <c r="G206" s="13">
        <v>631489.00199999998</v>
      </c>
      <c r="H206" s="13">
        <v>46266.606</v>
      </c>
      <c r="I206" s="13">
        <v>33451.508999999998</v>
      </c>
      <c r="J206" s="13">
        <v>71778.38</v>
      </c>
      <c r="K206" s="13">
        <v>137272.64199999999</v>
      </c>
      <c r="L206" s="13">
        <v>131546.291</v>
      </c>
      <c r="M206" s="13">
        <v>20672.613000000001</v>
      </c>
      <c r="N206" s="13">
        <v>44120.822</v>
      </c>
      <c r="O206" s="13">
        <v>281022.201</v>
      </c>
      <c r="P206" s="13">
        <v>67.686000000000007</v>
      </c>
      <c r="Q206" s="23"/>
    </row>
    <row r="207" spans="1:17" x14ac:dyDescent="0.25">
      <c r="A207" s="15">
        <v>43602</v>
      </c>
      <c r="B207" s="15">
        <v>43616</v>
      </c>
      <c r="C207" s="15">
        <v>43629</v>
      </c>
      <c r="D207" s="13">
        <f t="shared" si="6"/>
        <v>1869730.6400000004</v>
      </c>
      <c r="E207" s="13">
        <v>310491.038</v>
      </c>
      <c r="F207" s="13">
        <v>153913.63200000001</v>
      </c>
      <c r="G207" s="13">
        <v>642338.696</v>
      </c>
      <c r="H207" s="13">
        <v>46431.758999999998</v>
      </c>
      <c r="I207" s="13">
        <v>33956.097000000002</v>
      </c>
      <c r="J207" s="13">
        <v>72412.937999999995</v>
      </c>
      <c r="K207" s="13">
        <v>140735.86499999999</v>
      </c>
      <c r="L207" s="13">
        <v>123726.05</v>
      </c>
      <c r="M207" s="13">
        <v>20018.485000000001</v>
      </c>
      <c r="N207" s="13">
        <v>43984.28</v>
      </c>
      <c r="O207" s="13">
        <v>281670.375</v>
      </c>
      <c r="P207" s="13">
        <v>51.424999999999997</v>
      </c>
      <c r="Q207" s="23"/>
    </row>
    <row r="208" spans="1:17" x14ac:dyDescent="0.25">
      <c r="A208" s="15">
        <v>43616</v>
      </c>
      <c r="B208" s="15">
        <v>43630</v>
      </c>
      <c r="C208" s="15">
        <v>43643</v>
      </c>
      <c r="D208" s="13">
        <f t="shared" si="6"/>
        <v>1840855.7220000001</v>
      </c>
      <c r="E208" s="13">
        <v>314867.36300000001</v>
      </c>
      <c r="F208" s="13">
        <v>147585.19899999999</v>
      </c>
      <c r="G208" s="13">
        <v>628032.62699999998</v>
      </c>
      <c r="H208" s="13">
        <v>46642.330999999998</v>
      </c>
      <c r="I208" s="13">
        <v>32787.754999999997</v>
      </c>
      <c r="J208" s="13">
        <v>71499.656000000003</v>
      </c>
      <c r="K208" s="13">
        <v>136782.22200000001</v>
      </c>
      <c r="L208" s="13">
        <v>122230.924</v>
      </c>
      <c r="M208" s="13">
        <v>19277.137999999999</v>
      </c>
      <c r="N208" s="13">
        <v>42948.771000000001</v>
      </c>
      <c r="O208" s="13">
        <v>278077.36800000002</v>
      </c>
      <c r="P208" s="13">
        <v>124.36799999999999</v>
      </c>
      <c r="Q208" s="23"/>
    </row>
    <row r="209" spans="1:17" x14ac:dyDescent="0.25">
      <c r="A209" s="15">
        <v>43630</v>
      </c>
      <c r="B209" s="15">
        <v>43644</v>
      </c>
      <c r="C209" s="15">
        <v>43657</v>
      </c>
      <c r="D209" s="13">
        <f t="shared" si="6"/>
        <v>1824797.2930000003</v>
      </c>
      <c r="E209" s="13">
        <v>314412.21899999998</v>
      </c>
      <c r="F209" s="13">
        <v>155303.24400000001</v>
      </c>
      <c r="G209" s="13">
        <v>619010.18999999994</v>
      </c>
      <c r="H209" s="13">
        <v>47556.474999999999</v>
      </c>
      <c r="I209" s="13">
        <v>31829.841</v>
      </c>
      <c r="J209" s="13">
        <v>70227.962</v>
      </c>
      <c r="K209" s="13">
        <v>135802.58900000001</v>
      </c>
      <c r="L209" s="13">
        <v>118222.44100000001</v>
      </c>
      <c r="M209" s="13">
        <v>19165.892</v>
      </c>
      <c r="N209" s="13">
        <v>42265.553</v>
      </c>
      <c r="O209" s="13">
        <v>270956.61800000002</v>
      </c>
      <c r="P209" s="13">
        <v>44.268999999999998</v>
      </c>
      <c r="Q209" s="23"/>
    </row>
    <row r="210" spans="1:17" x14ac:dyDescent="0.25">
      <c r="A210" s="15">
        <v>43644</v>
      </c>
      <c r="B210" s="15">
        <v>43658</v>
      </c>
      <c r="C210" s="15">
        <v>43671</v>
      </c>
      <c r="D210" s="13">
        <f t="shared" si="6"/>
        <v>1787073.0970000001</v>
      </c>
      <c r="E210" s="13">
        <v>322242.06800000003</v>
      </c>
      <c r="F210" s="13">
        <v>145267.24</v>
      </c>
      <c r="G210" s="13">
        <v>605638.696</v>
      </c>
      <c r="H210" s="13">
        <v>47749.250999999997</v>
      </c>
      <c r="I210" s="13">
        <v>30874.665000000001</v>
      </c>
      <c r="J210" s="13">
        <v>70112.130999999994</v>
      </c>
      <c r="K210" s="13">
        <v>130548.852</v>
      </c>
      <c r="L210" s="13">
        <v>117557.777</v>
      </c>
      <c r="M210" s="13">
        <v>17797.864000000001</v>
      </c>
      <c r="N210" s="13">
        <v>39687.31</v>
      </c>
      <c r="O210" s="13">
        <v>259520.15299999999</v>
      </c>
      <c r="P210" s="13">
        <v>77.09</v>
      </c>
      <c r="Q210" s="23"/>
    </row>
    <row r="211" spans="1:17" x14ac:dyDescent="0.25">
      <c r="A211" s="15">
        <v>43658</v>
      </c>
      <c r="B211" s="15">
        <v>43672</v>
      </c>
      <c r="C211" s="15">
        <v>43685</v>
      </c>
      <c r="D211" s="13">
        <f t="shared" si="6"/>
        <v>1746925.3530000004</v>
      </c>
      <c r="E211" s="13">
        <v>312660.462</v>
      </c>
      <c r="F211" s="13">
        <v>145201.215</v>
      </c>
      <c r="G211" s="13">
        <v>598377.35100000002</v>
      </c>
      <c r="H211" s="13">
        <v>49097.478999999999</v>
      </c>
      <c r="I211" s="13">
        <v>29889.135999999999</v>
      </c>
      <c r="J211" s="13">
        <v>67729.164000000004</v>
      </c>
      <c r="K211" s="13">
        <v>132415.448</v>
      </c>
      <c r="L211" s="13">
        <v>110735.09</v>
      </c>
      <c r="M211" s="13">
        <v>16735.972000000002</v>
      </c>
      <c r="N211" s="13">
        <v>37371.517999999996</v>
      </c>
      <c r="O211" s="13">
        <v>246650.40100000001</v>
      </c>
      <c r="P211" s="13">
        <v>62.116999999999997</v>
      </c>
      <c r="Q211" s="23"/>
    </row>
    <row r="212" spans="1:17" x14ac:dyDescent="0.25">
      <c r="A212" s="15">
        <v>43672</v>
      </c>
      <c r="B212" s="15">
        <v>43686</v>
      </c>
      <c r="C212" s="15">
        <v>43699</v>
      </c>
      <c r="D212" s="13">
        <f t="shared" si="6"/>
        <v>1759064.5510000002</v>
      </c>
      <c r="E212" s="13">
        <v>319995.772</v>
      </c>
      <c r="F212" s="13">
        <v>147706.69399999999</v>
      </c>
      <c r="G212" s="13">
        <v>599350.04200000002</v>
      </c>
      <c r="H212" s="13">
        <v>50315.245000000003</v>
      </c>
      <c r="I212" s="13">
        <v>30131.906999999999</v>
      </c>
      <c r="J212" s="13">
        <v>67595.263000000006</v>
      </c>
      <c r="K212" s="13">
        <v>132992.89300000001</v>
      </c>
      <c r="L212" s="13">
        <v>111668.63400000001</v>
      </c>
      <c r="M212" s="13">
        <v>17156.965</v>
      </c>
      <c r="N212" s="13">
        <v>36946.769999999997</v>
      </c>
      <c r="O212" s="13">
        <v>245147.05300000001</v>
      </c>
      <c r="P212" s="13">
        <v>57.313000000000002</v>
      </c>
      <c r="Q212" s="23"/>
    </row>
    <row r="213" spans="1:17" x14ac:dyDescent="0.25">
      <c r="A213" s="15">
        <v>43686</v>
      </c>
      <c r="B213" s="15">
        <v>43700</v>
      </c>
      <c r="C213" s="15">
        <v>43713</v>
      </c>
      <c r="D213" s="13">
        <f t="shared" si="6"/>
        <v>1687441.2380000001</v>
      </c>
      <c r="E213" s="13">
        <v>306437.43800000002</v>
      </c>
      <c r="F213" s="13">
        <v>138380.905</v>
      </c>
      <c r="G213" s="13">
        <v>581109.37800000003</v>
      </c>
      <c r="H213" s="13">
        <v>48653.237000000001</v>
      </c>
      <c r="I213" s="13">
        <v>29371.554</v>
      </c>
      <c r="J213" s="13">
        <v>65932.766000000003</v>
      </c>
      <c r="K213" s="13">
        <v>125167.92200000001</v>
      </c>
      <c r="L213" s="13">
        <v>106846.01700000001</v>
      </c>
      <c r="M213" s="13">
        <v>14620.579</v>
      </c>
      <c r="N213" s="13">
        <v>35493.559000000001</v>
      </c>
      <c r="O213" s="13">
        <v>235351.09700000001</v>
      </c>
      <c r="P213" s="13">
        <v>76.786000000000001</v>
      </c>
      <c r="Q213" s="23"/>
    </row>
    <row r="214" spans="1:17" x14ac:dyDescent="0.25">
      <c r="A214" s="15">
        <v>43700</v>
      </c>
      <c r="B214" s="15">
        <v>43714</v>
      </c>
      <c r="C214" s="15">
        <v>43727</v>
      </c>
      <c r="D214" s="13">
        <f t="shared" si="6"/>
        <v>1750615.281</v>
      </c>
      <c r="E214" s="13">
        <v>319030.29100000003</v>
      </c>
      <c r="F214" s="13">
        <v>145999.99900000001</v>
      </c>
      <c r="G214" s="13">
        <v>604743.68400000001</v>
      </c>
      <c r="H214" s="13">
        <v>51089.124000000003</v>
      </c>
      <c r="I214" s="13">
        <v>30253.904999999999</v>
      </c>
      <c r="J214" s="13">
        <v>68869.275999999998</v>
      </c>
      <c r="K214" s="13">
        <v>123311.886</v>
      </c>
      <c r="L214" s="13">
        <v>109352.609</v>
      </c>
      <c r="M214" s="13">
        <v>15188.008</v>
      </c>
      <c r="N214" s="13">
        <v>36326.692000000003</v>
      </c>
      <c r="O214" s="13">
        <v>246338.375</v>
      </c>
      <c r="P214" s="13">
        <v>111.432</v>
      </c>
      <c r="Q214" s="23"/>
    </row>
    <row r="215" spans="1:17" x14ac:dyDescent="0.25">
      <c r="A215" s="15">
        <v>43714</v>
      </c>
      <c r="B215" s="15">
        <v>43728</v>
      </c>
      <c r="C215" s="15">
        <v>43741</v>
      </c>
      <c r="D215" s="13">
        <f t="shared" si="6"/>
        <v>1734724.4540000001</v>
      </c>
      <c r="E215" s="13">
        <v>319944.19799999997</v>
      </c>
      <c r="F215" s="13">
        <v>142964.04699999999</v>
      </c>
      <c r="G215" s="13">
        <v>599765.10100000002</v>
      </c>
      <c r="H215" s="13">
        <v>49001.146000000001</v>
      </c>
      <c r="I215" s="13">
        <v>29996.876</v>
      </c>
      <c r="J215" s="13">
        <v>67810.941000000006</v>
      </c>
      <c r="K215" s="13">
        <v>124073.073</v>
      </c>
      <c r="L215" s="13">
        <v>107711.351</v>
      </c>
      <c r="M215" s="13">
        <v>14935.215</v>
      </c>
      <c r="N215" s="13">
        <v>36781.538</v>
      </c>
      <c r="O215" s="13">
        <v>241673.209</v>
      </c>
      <c r="P215" s="13">
        <v>67.759</v>
      </c>
      <c r="Q215" s="23"/>
    </row>
    <row r="216" spans="1:17" x14ac:dyDescent="0.25">
      <c r="A216" s="15">
        <v>43728</v>
      </c>
      <c r="B216" s="15">
        <v>43742</v>
      </c>
      <c r="C216" s="15">
        <v>43755</v>
      </c>
      <c r="D216" s="13">
        <f t="shared" si="6"/>
        <v>1749229.8570000003</v>
      </c>
      <c r="E216" s="13">
        <v>330645.04700000002</v>
      </c>
      <c r="F216" s="13">
        <v>150759.43100000001</v>
      </c>
      <c r="G216" s="13">
        <v>601461.43999999994</v>
      </c>
      <c r="H216" s="13">
        <v>49940.853999999999</v>
      </c>
      <c r="I216" s="13">
        <v>30430.057000000001</v>
      </c>
      <c r="J216" s="13">
        <v>67880.771999999997</v>
      </c>
      <c r="K216" s="13">
        <v>119409.31200000001</v>
      </c>
      <c r="L216" s="13">
        <v>111116.57</v>
      </c>
      <c r="M216" s="13">
        <v>14184.048000000001</v>
      </c>
      <c r="N216" s="13">
        <v>36338.85</v>
      </c>
      <c r="O216" s="13">
        <v>236974.465</v>
      </c>
      <c r="P216" s="13">
        <v>89.010999999999996</v>
      </c>
      <c r="Q216" s="23"/>
    </row>
    <row r="217" spans="1:17" x14ac:dyDescent="0.25">
      <c r="A217" s="15">
        <v>43742</v>
      </c>
      <c r="B217" s="15">
        <v>43756</v>
      </c>
      <c r="C217" s="15">
        <v>43769</v>
      </c>
      <c r="D217" s="13">
        <f t="shared" si="6"/>
        <v>1750785.9519999998</v>
      </c>
      <c r="E217" s="13">
        <v>332275.71799999999</v>
      </c>
      <c r="F217" s="13">
        <v>150214.193</v>
      </c>
      <c r="G217" s="13">
        <v>604742.69400000002</v>
      </c>
      <c r="H217" s="13">
        <v>48835.152999999998</v>
      </c>
      <c r="I217" s="13">
        <v>30159.185000000001</v>
      </c>
      <c r="J217" s="13">
        <v>67365.231</v>
      </c>
      <c r="K217" s="13">
        <v>121424.091</v>
      </c>
      <c r="L217" s="13">
        <v>108911.04300000001</v>
      </c>
      <c r="M217" s="13">
        <v>14115.989</v>
      </c>
      <c r="N217" s="13">
        <v>35862.122000000003</v>
      </c>
      <c r="O217" s="13">
        <v>236760.15299999999</v>
      </c>
      <c r="P217" s="13">
        <v>120.38</v>
      </c>
      <c r="Q217" s="23"/>
    </row>
    <row r="218" spans="1:17" x14ac:dyDescent="0.25">
      <c r="A218" s="15">
        <v>43756</v>
      </c>
      <c r="B218" s="15">
        <v>43770</v>
      </c>
      <c r="C218" s="15">
        <v>43783</v>
      </c>
      <c r="D218" s="13">
        <f t="shared" si="6"/>
        <v>1814079.2660000001</v>
      </c>
      <c r="E218" s="13">
        <v>339759.35100000002</v>
      </c>
      <c r="F218" s="13">
        <v>156488.861</v>
      </c>
      <c r="G218" s="13">
        <v>633823.24800000002</v>
      </c>
      <c r="H218" s="13">
        <v>50298.165999999997</v>
      </c>
      <c r="I218" s="13">
        <v>31601.080999999998</v>
      </c>
      <c r="J218" s="13">
        <v>70462.520999999993</v>
      </c>
      <c r="K218" s="13">
        <v>124712.982</v>
      </c>
      <c r="L218" s="13">
        <v>112763.61199999999</v>
      </c>
      <c r="M218" s="13">
        <v>14089</v>
      </c>
      <c r="N218" s="13">
        <v>36911.440999999999</v>
      </c>
      <c r="O218" s="13">
        <v>243073.443</v>
      </c>
      <c r="P218" s="13">
        <v>95.56</v>
      </c>
      <c r="Q218" s="23"/>
    </row>
    <row r="219" spans="1:17" x14ac:dyDescent="0.25">
      <c r="A219" s="15">
        <v>43770</v>
      </c>
      <c r="B219" s="15">
        <v>43784</v>
      </c>
      <c r="C219" s="15">
        <v>43797</v>
      </c>
      <c r="D219" s="13">
        <f t="shared" si="6"/>
        <v>1746126.9049999998</v>
      </c>
      <c r="E219" s="13">
        <v>336073.60200000001</v>
      </c>
      <c r="F219" s="13">
        <v>146267.61900000001</v>
      </c>
      <c r="G219" s="13">
        <v>617515.14099999995</v>
      </c>
      <c r="H219" s="13">
        <v>47168.002999999997</v>
      </c>
      <c r="I219" s="13">
        <v>30741.174999999999</v>
      </c>
      <c r="J219" s="13">
        <v>68450.475000000006</v>
      </c>
      <c r="K219" s="13">
        <v>116735.451</v>
      </c>
      <c r="L219" s="13">
        <v>102048.606</v>
      </c>
      <c r="M219" s="13">
        <v>13933.152</v>
      </c>
      <c r="N219" s="13">
        <v>35743.737000000001</v>
      </c>
      <c r="O219" s="13">
        <v>231353.01500000001</v>
      </c>
      <c r="P219" s="13">
        <v>96.929000000000002</v>
      </c>
      <c r="Q219" s="23"/>
    </row>
    <row r="220" spans="1:17" x14ac:dyDescent="0.25">
      <c r="A220" s="15">
        <v>43784</v>
      </c>
      <c r="B220" s="15">
        <v>43798</v>
      </c>
      <c r="C220" s="15">
        <v>43811</v>
      </c>
      <c r="D220" s="13">
        <f t="shared" si="6"/>
        <v>1756765.5760000004</v>
      </c>
      <c r="E220" s="13">
        <v>344068.625</v>
      </c>
      <c r="F220" s="13">
        <v>147673.679</v>
      </c>
      <c r="G220" s="13">
        <v>617722.84900000005</v>
      </c>
      <c r="H220" s="13">
        <v>46600.413</v>
      </c>
      <c r="I220" s="13">
        <v>29924.127</v>
      </c>
      <c r="J220" s="13">
        <v>68079.350999999995</v>
      </c>
      <c r="K220" s="13">
        <v>116026.84299999999</v>
      </c>
      <c r="L220" s="13">
        <v>104769.685</v>
      </c>
      <c r="M220" s="13">
        <v>13805.398999999999</v>
      </c>
      <c r="N220" s="13">
        <v>35496.718000000001</v>
      </c>
      <c r="O220" s="13">
        <v>232479.1</v>
      </c>
      <c r="P220" s="13">
        <v>118.78700000000001</v>
      </c>
      <c r="Q220" s="23"/>
    </row>
    <row r="221" spans="1:17" x14ac:dyDescent="0.25">
      <c r="A221" s="15">
        <v>43798</v>
      </c>
      <c r="B221" s="15">
        <v>43812</v>
      </c>
      <c r="C221" s="15">
        <v>43825</v>
      </c>
      <c r="D221" s="13">
        <f t="shared" si="6"/>
        <v>1750607.5209999999</v>
      </c>
      <c r="E221" s="13">
        <v>342861.44799999997</v>
      </c>
      <c r="F221" s="13">
        <v>152289.641</v>
      </c>
      <c r="G221" s="13">
        <v>616049.03099999996</v>
      </c>
      <c r="H221" s="13">
        <v>46005.091</v>
      </c>
      <c r="I221" s="13">
        <v>29369.235000000001</v>
      </c>
      <c r="J221" s="13">
        <v>68094.838000000003</v>
      </c>
      <c r="K221" s="13">
        <v>105351.285</v>
      </c>
      <c r="L221" s="13">
        <v>109056.954</v>
      </c>
      <c r="M221" s="13">
        <v>13917.120999999999</v>
      </c>
      <c r="N221" s="13">
        <v>35289.146000000001</v>
      </c>
      <c r="O221" s="13">
        <v>232180.8</v>
      </c>
      <c r="P221" s="13">
        <v>142.93100000000001</v>
      </c>
      <c r="Q221" s="23"/>
    </row>
    <row r="222" spans="1:17" x14ac:dyDescent="0.25">
      <c r="A222" s="15">
        <v>43812</v>
      </c>
      <c r="B222" s="15">
        <v>43826</v>
      </c>
      <c r="C222" s="15">
        <v>43839</v>
      </c>
      <c r="D222" s="13">
        <f t="shared" si="6"/>
        <v>1761466.1399999997</v>
      </c>
      <c r="E222" s="13">
        <v>343450.734</v>
      </c>
      <c r="F222" s="13">
        <v>156421.204</v>
      </c>
      <c r="G222" s="13">
        <v>615576.72</v>
      </c>
      <c r="H222" s="13">
        <v>46743.851000000002</v>
      </c>
      <c r="I222" s="13">
        <v>29680.798999999999</v>
      </c>
      <c r="J222" s="13">
        <v>69194.093999999997</v>
      </c>
      <c r="K222" s="13">
        <v>103522.41499999999</v>
      </c>
      <c r="L222" s="13">
        <v>112799.432</v>
      </c>
      <c r="M222" s="13">
        <v>13611.258</v>
      </c>
      <c r="N222" s="13">
        <v>36316.902000000002</v>
      </c>
      <c r="O222" s="13">
        <v>234023.13699999999</v>
      </c>
      <c r="P222" s="13">
        <v>125.59399999999999</v>
      </c>
      <c r="Q222" s="23"/>
    </row>
    <row r="223" spans="1:17" x14ac:dyDescent="0.25">
      <c r="A223" s="15">
        <v>43826</v>
      </c>
      <c r="B223" s="15">
        <v>43840</v>
      </c>
      <c r="C223" s="15">
        <v>43853</v>
      </c>
      <c r="D223" s="13">
        <f t="shared" si="6"/>
        <v>1797006.38</v>
      </c>
      <c r="E223" s="13">
        <v>354185.87099999998</v>
      </c>
      <c r="F223" s="13">
        <v>158050.01999999999</v>
      </c>
      <c r="G223" s="13">
        <v>625253.35199999996</v>
      </c>
      <c r="H223" s="13">
        <v>48276.356</v>
      </c>
      <c r="I223" s="13">
        <v>30622.553</v>
      </c>
      <c r="J223" s="13">
        <v>71321.320999999996</v>
      </c>
      <c r="K223" s="13">
        <v>103535.95299999999</v>
      </c>
      <c r="L223" s="13">
        <v>112562.137</v>
      </c>
      <c r="M223" s="13">
        <v>13650.546</v>
      </c>
      <c r="N223" s="13">
        <v>39800.531000000003</v>
      </c>
      <c r="O223" s="13">
        <v>239611.77100000001</v>
      </c>
      <c r="P223" s="13">
        <v>135.96899999999999</v>
      </c>
      <c r="Q223" s="23"/>
    </row>
    <row r="224" spans="1:17" x14ac:dyDescent="0.25">
      <c r="A224" s="15">
        <v>43840</v>
      </c>
      <c r="B224" s="15">
        <v>43854</v>
      </c>
      <c r="C224" s="15">
        <v>43867</v>
      </c>
      <c r="D224" s="13">
        <f t="shared" si="6"/>
        <v>1790840.6950000001</v>
      </c>
      <c r="E224" s="13">
        <v>358153.65600000002</v>
      </c>
      <c r="F224" s="13">
        <v>155989.742</v>
      </c>
      <c r="G224" s="13">
        <v>624076.59299999999</v>
      </c>
      <c r="H224" s="13">
        <v>48871.277000000002</v>
      </c>
      <c r="I224" s="13">
        <v>30842.456999999999</v>
      </c>
      <c r="J224" s="13">
        <v>70578.611000000004</v>
      </c>
      <c r="K224" s="13">
        <v>99886.233999999997</v>
      </c>
      <c r="L224" s="13">
        <v>111937.91800000001</v>
      </c>
      <c r="M224" s="13">
        <v>13282.587</v>
      </c>
      <c r="N224" s="13">
        <v>39003.951999999997</v>
      </c>
      <c r="O224" s="13">
        <v>238066.17600000001</v>
      </c>
      <c r="P224" s="13">
        <v>151.49199999999999</v>
      </c>
      <c r="Q224" s="23"/>
    </row>
    <row r="225" spans="1:17" x14ac:dyDescent="0.25">
      <c r="A225" s="15">
        <v>43854</v>
      </c>
      <c r="B225" s="15">
        <v>43868</v>
      </c>
      <c r="C225" s="15">
        <v>43881</v>
      </c>
      <c r="D225" s="13">
        <f t="shared" si="6"/>
        <v>1806264.5810000002</v>
      </c>
      <c r="E225" s="13">
        <v>368202.18599999999</v>
      </c>
      <c r="F225" s="13">
        <v>158738.60200000001</v>
      </c>
      <c r="G225" s="13">
        <v>619239.43500000006</v>
      </c>
      <c r="H225" s="13">
        <v>50297.245000000003</v>
      </c>
      <c r="I225" s="13">
        <v>31865.085999999999</v>
      </c>
      <c r="J225" s="13">
        <v>70315.755000000005</v>
      </c>
      <c r="K225" s="13">
        <v>101211.383</v>
      </c>
      <c r="L225" s="13">
        <v>111821.458</v>
      </c>
      <c r="M225" s="13">
        <v>13993.891</v>
      </c>
      <c r="N225" s="13">
        <v>39560.188000000002</v>
      </c>
      <c r="O225" s="13">
        <v>240905.62700000001</v>
      </c>
      <c r="P225" s="13">
        <v>113.72499999999999</v>
      </c>
      <c r="Q225" s="23"/>
    </row>
    <row r="226" spans="1:17" x14ac:dyDescent="0.25">
      <c r="A226" s="15">
        <v>43868</v>
      </c>
      <c r="B226" s="15">
        <v>43882</v>
      </c>
      <c r="C226" s="15">
        <v>43895</v>
      </c>
      <c r="D226" s="13">
        <f t="shared" si="6"/>
        <v>1812138.3399999999</v>
      </c>
      <c r="E226" s="13">
        <v>378383.18599999999</v>
      </c>
      <c r="F226" s="13">
        <v>157501.11900000001</v>
      </c>
      <c r="G226" s="13">
        <v>616719.41200000001</v>
      </c>
      <c r="H226" s="13">
        <v>53017.192999999999</v>
      </c>
      <c r="I226" s="13">
        <v>32006.163</v>
      </c>
      <c r="J226" s="13">
        <v>70843.7</v>
      </c>
      <c r="K226" s="13">
        <v>99720.259000000005</v>
      </c>
      <c r="L226" s="13">
        <v>111093.81</v>
      </c>
      <c r="M226" s="13">
        <v>14131.947</v>
      </c>
      <c r="N226" s="13">
        <v>39640.766000000003</v>
      </c>
      <c r="O226" s="13">
        <v>238916.49</v>
      </c>
      <c r="P226" s="13">
        <v>164.29499999999999</v>
      </c>
      <c r="Q226" s="23"/>
    </row>
    <row r="227" spans="1:17" x14ac:dyDescent="0.25">
      <c r="A227" s="15">
        <v>43882</v>
      </c>
      <c r="B227" s="15">
        <v>43896</v>
      </c>
      <c r="C227" s="15">
        <v>43909</v>
      </c>
      <c r="D227" s="13">
        <f t="shared" si="6"/>
        <v>1850548.2299999997</v>
      </c>
      <c r="E227" s="13">
        <v>392520.93800000002</v>
      </c>
      <c r="F227" s="13">
        <v>162374.99900000001</v>
      </c>
      <c r="G227" s="13">
        <v>624716.61499999999</v>
      </c>
      <c r="H227" s="13">
        <v>55389.008000000002</v>
      </c>
      <c r="I227" s="13">
        <v>32759.947</v>
      </c>
      <c r="J227" s="13">
        <v>71326.323000000004</v>
      </c>
      <c r="K227" s="13">
        <v>101225.251</v>
      </c>
      <c r="L227" s="13">
        <v>113521.24099999999</v>
      </c>
      <c r="M227" s="13">
        <v>15212.947</v>
      </c>
      <c r="N227" s="13">
        <v>39831.148999999998</v>
      </c>
      <c r="O227" s="13">
        <v>241510.628</v>
      </c>
      <c r="P227" s="13">
        <v>159.184</v>
      </c>
      <c r="Q227" s="23"/>
    </row>
    <row r="228" spans="1:17" x14ac:dyDescent="0.25">
      <c r="A228" s="15">
        <v>43896</v>
      </c>
      <c r="B228" s="15">
        <v>43910</v>
      </c>
      <c r="C228" s="15">
        <v>43923</v>
      </c>
      <c r="D228" s="13">
        <f t="shared" si="6"/>
        <v>1876788.676</v>
      </c>
      <c r="E228" s="13">
        <v>410336.20500000002</v>
      </c>
      <c r="F228" s="13">
        <v>164597.899</v>
      </c>
      <c r="G228" s="13">
        <v>622247.549</v>
      </c>
      <c r="H228" s="13">
        <v>57706.129000000001</v>
      </c>
      <c r="I228" s="13">
        <v>32974.186000000002</v>
      </c>
      <c r="J228" s="13">
        <v>72484.240999999995</v>
      </c>
      <c r="K228" s="13">
        <v>103769.966</v>
      </c>
      <c r="L228" s="13">
        <v>115152.039</v>
      </c>
      <c r="M228" s="13">
        <v>15202.02</v>
      </c>
      <c r="N228" s="13">
        <v>39978.171999999999</v>
      </c>
      <c r="O228" s="13">
        <v>242110.44099999999</v>
      </c>
      <c r="P228" s="13">
        <v>229.82900000000001</v>
      </c>
      <c r="Q228" s="23"/>
    </row>
    <row r="229" spans="1:17" x14ac:dyDescent="0.25">
      <c r="A229" s="15">
        <v>43910</v>
      </c>
      <c r="B229" s="15">
        <v>43924</v>
      </c>
      <c r="C229" s="15">
        <v>43937</v>
      </c>
      <c r="D229" s="13">
        <f t="shared" si="6"/>
        <v>1985170.9210000003</v>
      </c>
      <c r="E229" s="13">
        <v>454470.76199999999</v>
      </c>
      <c r="F229" s="13">
        <v>176471.459</v>
      </c>
      <c r="G229" s="13">
        <v>637540.23600000003</v>
      </c>
      <c r="H229" s="13">
        <v>59873.639000000003</v>
      </c>
      <c r="I229" s="13">
        <v>33799.415000000001</v>
      </c>
      <c r="J229" s="13">
        <v>73926.843999999997</v>
      </c>
      <c r="K229" s="13">
        <v>109275.44899999999</v>
      </c>
      <c r="L229" s="13">
        <v>124907.935</v>
      </c>
      <c r="M229" s="13">
        <v>17139.921999999999</v>
      </c>
      <c r="N229" s="13">
        <v>39949.455000000002</v>
      </c>
      <c r="O229" s="13">
        <v>257557.63399999999</v>
      </c>
      <c r="P229" s="13">
        <v>258.17099999999999</v>
      </c>
      <c r="Q229" s="23"/>
    </row>
    <row r="230" spans="1:17" x14ac:dyDescent="0.25">
      <c r="A230" s="15">
        <v>43924</v>
      </c>
      <c r="B230" s="15">
        <v>43938</v>
      </c>
      <c r="C230" s="15">
        <v>43954</v>
      </c>
      <c r="D230" s="13">
        <f t="shared" si="6"/>
        <v>1998011.4260000004</v>
      </c>
      <c r="E230" s="13">
        <v>449066.40100000001</v>
      </c>
      <c r="F230" s="13">
        <v>168551.467</v>
      </c>
      <c r="G230" s="13">
        <v>657856.63300000003</v>
      </c>
      <c r="H230" s="13">
        <v>59190.216</v>
      </c>
      <c r="I230" s="13">
        <v>33888.637000000002</v>
      </c>
      <c r="J230" s="13">
        <v>75493.108999999997</v>
      </c>
      <c r="K230" s="13">
        <v>110689.755</v>
      </c>
      <c r="L230" s="13">
        <v>124458.948</v>
      </c>
      <c r="M230" s="13">
        <v>15794.955</v>
      </c>
      <c r="N230" s="13">
        <v>39926.339</v>
      </c>
      <c r="O230" s="13">
        <v>262904.092</v>
      </c>
      <c r="P230" s="13">
        <v>190.874</v>
      </c>
      <c r="Q230" s="23"/>
    </row>
    <row r="231" spans="1:17" x14ac:dyDescent="0.25">
      <c r="A231" s="15">
        <v>43938</v>
      </c>
      <c r="B231" s="15">
        <v>43955</v>
      </c>
      <c r="C231" s="15">
        <v>43965</v>
      </c>
      <c r="D231" s="13">
        <f t="shared" si="6"/>
        <v>2066594.088</v>
      </c>
      <c r="E231" s="13">
        <v>482625.24200000003</v>
      </c>
      <c r="F231" s="13">
        <v>169060.47399999999</v>
      </c>
      <c r="G231" s="13">
        <v>676500.03799999994</v>
      </c>
      <c r="H231" s="13">
        <v>57240.963000000003</v>
      </c>
      <c r="I231" s="13">
        <v>34893.701999999997</v>
      </c>
      <c r="J231" s="13">
        <v>77176.831000000006</v>
      </c>
      <c r="K231" s="13">
        <v>115239.44</v>
      </c>
      <c r="L231" s="13">
        <v>125924.269</v>
      </c>
      <c r="M231" s="13">
        <v>15450.032999999999</v>
      </c>
      <c r="N231" s="13">
        <v>40777.504999999997</v>
      </c>
      <c r="O231" s="13">
        <v>271602.43699999998</v>
      </c>
      <c r="P231" s="13">
        <v>103.154</v>
      </c>
      <c r="Q231" s="23"/>
    </row>
    <row r="232" spans="1:17" x14ac:dyDescent="0.25">
      <c r="A232" s="15">
        <v>43951</v>
      </c>
      <c r="B232" s="15">
        <v>43966</v>
      </c>
      <c r="C232" s="15">
        <v>43979</v>
      </c>
      <c r="D232" s="13">
        <f t="shared" si="6"/>
        <v>2069306.6750000003</v>
      </c>
      <c r="E232" s="13">
        <v>495196.16899999999</v>
      </c>
      <c r="F232" s="13">
        <v>174017.758</v>
      </c>
      <c r="G232" s="13">
        <v>665821.94499999995</v>
      </c>
      <c r="H232" s="13">
        <v>55665.627</v>
      </c>
      <c r="I232" s="13">
        <v>33843.913999999997</v>
      </c>
      <c r="J232" s="13">
        <v>77039.134000000005</v>
      </c>
      <c r="K232" s="13">
        <v>118412.93700000001</v>
      </c>
      <c r="L232" s="13">
        <v>126084.629</v>
      </c>
      <c r="M232" s="13">
        <v>15420.992</v>
      </c>
      <c r="N232" s="13">
        <v>40916.985999999997</v>
      </c>
      <c r="O232" s="13">
        <v>266742.565</v>
      </c>
      <c r="P232" s="13">
        <v>144.01900000000001</v>
      </c>
      <c r="Q232" s="23"/>
    </row>
    <row r="233" spans="1:17" x14ac:dyDescent="0.25">
      <c r="A233" s="15">
        <v>43966</v>
      </c>
      <c r="B233" s="15">
        <v>43980</v>
      </c>
      <c r="C233" s="15">
        <v>43993</v>
      </c>
      <c r="D233" s="13">
        <f t="shared" si="6"/>
        <v>2079107.6119999997</v>
      </c>
      <c r="E233" s="13">
        <v>514402.54100000003</v>
      </c>
      <c r="F233" s="13">
        <v>171193.52100000001</v>
      </c>
      <c r="G233" s="13">
        <v>652888.04299999995</v>
      </c>
      <c r="H233" s="13">
        <v>54477.883999999998</v>
      </c>
      <c r="I233" s="13">
        <v>33604.264000000003</v>
      </c>
      <c r="J233" s="13">
        <v>75200.910999999993</v>
      </c>
      <c r="K233" s="13">
        <v>132286.552</v>
      </c>
      <c r="L233" s="13">
        <v>122340.197</v>
      </c>
      <c r="M233" s="13">
        <v>13371.612999999999</v>
      </c>
      <c r="N233" s="13">
        <v>44695.038</v>
      </c>
      <c r="O233" s="13">
        <v>264499.19</v>
      </c>
      <c r="P233" s="13">
        <v>147.858</v>
      </c>
      <c r="Q233" s="23"/>
    </row>
    <row r="234" spans="1:17" x14ac:dyDescent="0.25">
      <c r="A234" s="15">
        <v>43980</v>
      </c>
      <c r="B234" s="15">
        <v>43994</v>
      </c>
      <c r="C234" s="15">
        <v>44007</v>
      </c>
      <c r="D234" s="13">
        <f t="shared" si="6"/>
        <v>2057826.6419999998</v>
      </c>
      <c r="E234" s="13">
        <v>524508.93500000006</v>
      </c>
      <c r="F234" s="13">
        <v>161423.18900000001</v>
      </c>
      <c r="G234" s="13">
        <v>650048.31700000004</v>
      </c>
      <c r="H234" s="13">
        <v>51883.838000000003</v>
      </c>
      <c r="I234" s="13">
        <v>32931.724000000002</v>
      </c>
      <c r="J234" s="13">
        <v>73584.202000000005</v>
      </c>
      <c r="K234" s="13">
        <v>130061.413</v>
      </c>
      <c r="L234" s="13">
        <v>119798.15700000001</v>
      </c>
      <c r="M234" s="13">
        <v>12066.295</v>
      </c>
      <c r="N234" s="13">
        <v>42764.491000000002</v>
      </c>
      <c r="O234" s="13">
        <v>258581.72700000001</v>
      </c>
      <c r="P234" s="13">
        <v>174.35400000000001</v>
      </c>
      <c r="Q234" s="23"/>
    </row>
    <row r="235" spans="1:17" x14ac:dyDescent="0.25">
      <c r="A235" s="15">
        <v>43994</v>
      </c>
      <c r="B235" s="15">
        <v>44008</v>
      </c>
      <c r="C235" s="15">
        <v>44021</v>
      </c>
      <c r="D235" s="13">
        <f t="shared" si="6"/>
        <v>2089865.1190000004</v>
      </c>
      <c r="E235" s="13">
        <v>547907.40700000001</v>
      </c>
      <c r="F235" s="13">
        <v>161594.557</v>
      </c>
      <c r="G235" s="13">
        <v>659642.495</v>
      </c>
      <c r="H235" s="13">
        <v>50282.25</v>
      </c>
      <c r="I235" s="13">
        <v>33402.993999999999</v>
      </c>
      <c r="J235" s="13">
        <v>74448.441000000006</v>
      </c>
      <c r="K235" s="13">
        <v>128571.576</v>
      </c>
      <c r="L235" s="13">
        <v>120087.554</v>
      </c>
      <c r="M235" s="13">
        <v>12086.073</v>
      </c>
      <c r="N235" s="13">
        <v>42460.02</v>
      </c>
      <c r="O235" s="13">
        <v>259167.73</v>
      </c>
      <c r="P235" s="13">
        <v>214.02199999999999</v>
      </c>
      <c r="Q235" s="23"/>
    </row>
    <row r="236" spans="1:17" x14ac:dyDescent="0.25">
      <c r="A236" s="15">
        <v>44008</v>
      </c>
      <c r="B236" s="15">
        <v>44022</v>
      </c>
      <c r="C236" s="15">
        <v>44035</v>
      </c>
      <c r="D236" s="13">
        <f t="shared" si="6"/>
        <v>2091941.0790000001</v>
      </c>
      <c r="E236" s="13">
        <v>558339.07200000004</v>
      </c>
      <c r="F236" s="13">
        <v>162439.535</v>
      </c>
      <c r="G236" s="13">
        <v>652665.701</v>
      </c>
      <c r="H236" s="13">
        <v>51693.267</v>
      </c>
      <c r="I236" s="13">
        <v>33248.963000000003</v>
      </c>
      <c r="J236" s="13">
        <v>74018.971000000005</v>
      </c>
      <c r="K236" s="13">
        <v>128714.501</v>
      </c>
      <c r="L236" s="13">
        <v>119490.87699999999</v>
      </c>
      <c r="M236" s="13">
        <v>11923.37</v>
      </c>
      <c r="N236" s="13">
        <v>41836.112999999998</v>
      </c>
      <c r="O236" s="13">
        <v>257402.696</v>
      </c>
      <c r="P236" s="13">
        <v>168.01300000000001</v>
      </c>
      <c r="Q236" s="23"/>
    </row>
    <row r="237" spans="1:17" x14ac:dyDescent="0.25">
      <c r="A237" s="15">
        <v>44022</v>
      </c>
      <c r="B237" s="15">
        <v>44036</v>
      </c>
      <c r="C237" s="15">
        <v>44049</v>
      </c>
      <c r="D237" s="13">
        <f t="shared" si="6"/>
        <v>2104118.2620000001</v>
      </c>
      <c r="E237" s="13">
        <v>566550.18400000001</v>
      </c>
      <c r="F237" s="13">
        <v>166570.28200000001</v>
      </c>
      <c r="G237" s="13">
        <v>645056.48699999996</v>
      </c>
      <c r="H237" s="13">
        <v>52565.044000000002</v>
      </c>
      <c r="I237" s="13">
        <v>33428.567999999999</v>
      </c>
      <c r="J237" s="13">
        <v>74398.323999999993</v>
      </c>
      <c r="K237" s="13">
        <v>128550.607</v>
      </c>
      <c r="L237" s="13">
        <v>122416.296</v>
      </c>
      <c r="M237" s="13">
        <v>11969.82</v>
      </c>
      <c r="N237" s="13">
        <v>41211.292000000001</v>
      </c>
      <c r="O237" s="13">
        <v>261262.75899999999</v>
      </c>
      <c r="P237" s="13">
        <v>138.59899999999999</v>
      </c>
      <c r="Q237" s="23"/>
    </row>
    <row r="238" spans="1:17" x14ac:dyDescent="0.25">
      <c r="A238" s="15">
        <v>44036</v>
      </c>
      <c r="B238" s="15">
        <v>44050</v>
      </c>
      <c r="C238" s="15">
        <v>44063</v>
      </c>
      <c r="D238" s="13">
        <f t="shared" si="6"/>
        <v>2141860.4810000001</v>
      </c>
      <c r="E238" s="13">
        <v>592976.56999999995</v>
      </c>
      <c r="F238" s="13">
        <v>169042.20699999999</v>
      </c>
      <c r="G238" s="13">
        <v>651244.44799999997</v>
      </c>
      <c r="H238" s="13">
        <v>53551.550999999999</v>
      </c>
      <c r="I238" s="13">
        <v>33814.296000000002</v>
      </c>
      <c r="J238" s="13">
        <v>74044.732000000004</v>
      </c>
      <c r="K238" s="13">
        <v>130227.024</v>
      </c>
      <c r="L238" s="13">
        <v>123514.143</v>
      </c>
      <c r="M238" s="13">
        <v>12592.686</v>
      </c>
      <c r="N238" s="13">
        <v>41278.027000000002</v>
      </c>
      <c r="O238" s="13">
        <v>259362.78400000001</v>
      </c>
      <c r="P238" s="13">
        <v>212.01300000000001</v>
      </c>
      <c r="Q238" s="23"/>
    </row>
    <row r="239" spans="1:17" x14ac:dyDescent="0.25">
      <c r="A239" s="15">
        <v>44050</v>
      </c>
      <c r="B239" s="15">
        <v>44064</v>
      </c>
      <c r="C239" s="15">
        <v>44077</v>
      </c>
      <c r="D239" s="13">
        <f t="shared" si="6"/>
        <v>2343922.9619999998</v>
      </c>
      <c r="E239" s="13">
        <v>695115.88800000004</v>
      </c>
      <c r="F239" s="13">
        <v>177784.758</v>
      </c>
      <c r="G239" s="13">
        <v>692473.03</v>
      </c>
      <c r="H239" s="13">
        <v>57169.264000000003</v>
      </c>
      <c r="I239" s="13">
        <v>36127.629000000001</v>
      </c>
      <c r="J239" s="13">
        <v>79402.096000000005</v>
      </c>
      <c r="K239" s="13">
        <v>143487.08900000001</v>
      </c>
      <c r="L239" s="13">
        <v>132786.55499999999</v>
      </c>
      <c r="M239" s="13">
        <v>13648.784</v>
      </c>
      <c r="N239" s="13">
        <v>43364.368000000002</v>
      </c>
      <c r="O239" s="13">
        <v>272335.103</v>
      </c>
      <c r="P239" s="13">
        <v>228.398</v>
      </c>
      <c r="Q239" s="23"/>
    </row>
    <row r="240" spans="1:17" x14ac:dyDescent="0.25">
      <c r="A240" s="15">
        <v>44064</v>
      </c>
      <c r="B240" s="15">
        <v>44078</v>
      </c>
      <c r="C240" s="15">
        <v>44091</v>
      </c>
      <c r="D240" s="13">
        <f t="shared" si="6"/>
        <v>2368478.1619999995</v>
      </c>
      <c r="E240" s="13">
        <v>699572.22600000002</v>
      </c>
      <c r="F240" s="13">
        <v>172074.019</v>
      </c>
      <c r="G240" s="13">
        <v>705267.59600000002</v>
      </c>
      <c r="H240" s="13">
        <v>55067.586000000003</v>
      </c>
      <c r="I240" s="13">
        <v>35909.686000000002</v>
      </c>
      <c r="J240" s="13">
        <v>80197.089000000007</v>
      </c>
      <c r="K240" s="13">
        <v>147601.973</v>
      </c>
      <c r="L240" s="13">
        <v>136838.16200000001</v>
      </c>
      <c r="M240" s="13">
        <v>13796.591</v>
      </c>
      <c r="N240" s="13">
        <v>43989.527000000002</v>
      </c>
      <c r="O240" s="13">
        <v>277945.45500000002</v>
      </c>
      <c r="P240" s="13">
        <v>218.25200000000001</v>
      </c>
      <c r="Q240" s="23"/>
    </row>
    <row r="241" spans="1:17" x14ac:dyDescent="0.25">
      <c r="A241" s="15">
        <v>44078</v>
      </c>
      <c r="B241" s="15">
        <v>44092</v>
      </c>
      <c r="C241" s="15">
        <v>44105</v>
      </c>
      <c r="D241" s="13">
        <f t="shared" si="6"/>
        <v>2399262.3020000006</v>
      </c>
      <c r="E241" s="13">
        <v>710686.81900000002</v>
      </c>
      <c r="F241" s="13">
        <v>171343.85699999999</v>
      </c>
      <c r="G241" s="13">
        <v>720865.58</v>
      </c>
      <c r="H241" s="13">
        <v>55968.415000000001</v>
      </c>
      <c r="I241" s="13">
        <v>36212.014999999999</v>
      </c>
      <c r="J241" s="13">
        <v>81016.009000000005</v>
      </c>
      <c r="K241" s="13">
        <v>145760.383</v>
      </c>
      <c r="L241" s="13">
        <v>139391.18599999999</v>
      </c>
      <c r="M241" s="13">
        <v>11570.647000000001</v>
      </c>
      <c r="N241" s="13">
        <v>44544.163999999997</v>
      </c>
      <c r="O241" s="13">
        <v>281692.61499999999</v>
      </c>
      <c r="P241" s="13">
        <v>210.61199999999999</v>
      </c>
      <c r="Q241" s="23"/>
    </row>
    <row r="242" spans="1:17" x14ac:dyDescent="0.25">
      <c r="A242" s="15">
        <v>44092</v>
      </c>
      <c r="B242" s="15">
        <v>44106</v>
      </c>
      <c r="C242" s="15">
        <v>44119</v>
      </c>
      <c r="D242" s="13">
        <f t="shared" si="6"/>
        <v>2431837.64</v>
      </c>
      <c r="E242" s="13">
        <v>719564.56900000002</v>
      </c>
      <c r="F242" s="13">
        <v>172264.198</v>
      </c>
      <c r="G242" s="13">
        <v>735247.62</v>
      </c>
      <c r="H242" s="13">
        <v>56273.536</v>
      </c>
      <c r="I242" s="13">
        <v>36847.260999999999</v>
      </c>
      <c r="J242" s="13">
        <v>81847.703999999998</v>
      </c>
      <c r="K242" s="13">
        <v>144421.071</v>
      </c>
      <c r="L242" s="13">
        <v>142584.239</v>
      </c>
      <c r="M242" s="13">
        <v>11837.007</v>
      </c>
      <c r="N242" s="13">
        <v>45669.250999999997</v>
      </c>
      <c r="O242" s="13">
        <v>285014.32900000003</v>
      </c>
      <c r="P242" s="13">
        <v>266.85500000000002</v>
      </c>
      <c r="Q242" s="23"/>
    </row>
    <row r="243" spans="1:17" x14ac:dyDescent="0.25">
      <c r="A243" s="15">
        <v>44106</v>
      </c>
      <c r="B243" s="15">
        <v>44120</v>
      </c>
      <c r="C243" s="15">
        <v>44133</v>
      </c>
      <c r="D243" s="13">
        <f t="shared" si="6"/>
        <v>2491091.4030000004</v>
      </c>
      <c r="E243" s="13">
        <v>740812.10600000003</v>
      </c>
      <c r="F243" s="13">
        <v>170635.633</v>
      </c>
      <c r="G243" s="13">
        <v>758375.81299999997</v>
      </c>
      <c r="H243" s="13">
        <v>56481.773000000001</v>
      </c>
      <c r="I243" s="13">
        <v>37708.906000000003</v>
      </c>
      <c r="J243" s="13">
        <v>82173.475999999995</v>
      </c>
      <c r="K243" s="13">
        <v>145141.66200000001</v>
      </c>
      <c r="L243" s="13">
        <v>150033.71599999999</v>
      </c>
      <c r="M243" s="13">
        <v>12092.837</v>
      </c>
      <c r="N243" s="13">
        <v>46641.506999999998</v>
      </c>
      <c r="O243" s="13">
        <v>290719.11800000002</v>
      </c>
      <c r="P243" s="13">
        <v>274.85599999999999</v>
      </c>
      <c r="Q243" s="23"/>
    </row>
    <row r="244" spans="1:17" x14ac:dyDescent="0.25">
      <c r="A244" s="15">
        <v>44120</v>
      </c>
      <c r="B244" s="15">
        <v>44134</v>
      </c>
      <c r="C244" s="15">
        <v>44147</v>
      </c>
      <c r="D244" s="13">
        <f t="shared" si="6"/>
        <v>2552457.0229999996</v>
      </c>
      <c r="E244" s="13">
        <v>755890.75100000005</v>
      </c>
      <c r="F244" s="13">
        <v>170010.61</v>
      </c>
      <c r="G244" s="13">
        <v>791704.33200000005</v>
      </c>
      <c r="H244" s="13">
        <v>56962.292999999998</v>
      </c>
      <c r="I244" s="13">
        <v>39045.163999999997</v>
      </c>
      <c r="J244" s="13">
        <v>84441.828000000009</v>
      </c>
      <c r="K244" s="13">
        <v>149106.826</v>
      </c>
      <c r="L244" s="13">
        <v>149139.92499999999</v>
      </c>
      <c r="M244" s="13">
        <v>12417.319</v>
      </c>
      <c r="N244" s="13">
        <v>45460.286</v>
      </c>
      <c r="O244" s="13">
        <v>298025.652</v>
      </c>
      <c r="P244" s="13">
        <v>252.03700000000001</v>
      </c>
      <c r="Q244" s="23"/>
    </row>
    <row r="245" spans="1:17" x14ac:dyDescent="0.25">
      <c r="A245" s="15">
        <v>44134</v>
      </c>
      <c r="B245" s="15">
        <v>44148</v>
      </c>
      <c r="C245" s="15">
        <v>44161</v>
      </c>
      <c r="D245" s="13">
        <f t="shared" si="6"/>
        <v>2659202.0719999997</v>
      </c>
      <c r="E245" s="13">
        <v>796584.37199999997</v>
      </c>
      <c r="F245" s="13">
        <v>180964.889</v>
      </c>
      <c r="G245" s="13">
        <v>814633.91299999994</v>
      </c>
      <c r="H245" s="13">
        <v>57492.328999999998</v>
      </c>
      <c r="I245" s="13">
        <v>43302.961000000003</v>
      </c>
      <c r="J245" s="13">
        <v>86202.275999999998</v>
      </c>
      <c r="K245" s="13">
        <v>155601.88399999999</v>
      </c>
      <c r="L245" s="13">
        <v>158612.777</v>
      </c>
      <c r="M245" s="13">
        <v>13773.333000000001</v>
      </c>
      <c r="N245" s="13">
        <v>45502.949000000001</v>
      </c>
      <c r="O245" s="13">
        <v>306278.78399999999</v>
      </c>
      <c r="P245" s="13">
        <v>251.60499999999999</v>
      </c>
      <c r="Q245" s="23"/>
    </row>
    <row r="246" spans="1:17" x14ac:dyDescent="0.25">
      <c r="A246" s="15">
        <v>44148</v>
      </c>
      <c r="B246" s="15">
        <v>44162</v>
      </c>
      <c r="C246" s="15">
        <v>44175</v>
      </c>
      <c r="D246" s="13">
        <f t="shared" si="6"/>
        <v>2575922.9930000002</v>
      </c>
      <c r="E246" s="13">
        <v>787763.58299999998</v>
      </c>
      <c r="F246" s="13">
        <v>182017.296</v>
      </c>
      <c r="G246" s="13">
        <v>776820.52300000004</v>
      </c>
      <c r="H246" s="13">
        <v>54607.749000000003</v>
      </c>
      <c r="I246" s="13">
        <v>40864.358999999997</v>
      </c>
      <c r="J246" s="13">
        <v>82048.312000000005</v>
      </c>
      <c r="K246" s="13">
        <v>151506.58600000001</v>
      </c>
      <c r="L246" s="13">
        <v>149976.66500000001</v>
      </c>
      <c r="M246" s="13">
        <v>13191.098</v>
      </c>
      <c r="N246" s="13">
        <v>43582.506000000001</v>
      </c>
      <c r="O246" s="13">
        <v>293307.68</v>
      </c>
      <c r="P246" s="13">
        <v>236.636</v>
      </c>
      <c r="Q246" s="23"/>
    </row>
    <row r="247" spans="1:17" x14ac:dyDescent="0.25">
      <c r="A247" s="15">
        <v>44162</v>
      </c>
      <c r="B247" s="15">
        <v>44176</v>
      </c>
      <c r="C247" s="15">
        <v>44189</v>
      </c>
      <c r="D247" s="13">
        <f t="shared" si="6"/>
        <v>2630403.0179999997</v>
      </c>
      <c r="E247" s="13">
        <v>814013.03599999996</v>
      </c>
      <c r="F247" s="13">
        <v>189820.625</v>
      </c>
      <c r="G247" s="13">
        <v>783451.571</v>
      </c>
      <c r="H247" s="13">
        <v>55302.527000000002</v>
      </c>
      <c r="I247" s="13">
        <v>41501.557999999997</v>
      </c>
      <c r="J247" s="13">
        <v>83293.646999999997</v>
      </c>
      <c r="K247" s="13">
        <v>153870.75899999999</v>
      </c>
      <c r="L247" s="13">
        <v>155656.913</v>
      </c>
      <c r="M247" s="13">
        <v>13374.391</v>
      </c>
      <c r="N247" s="13">
        <v>43480.305999999997</v>
      </c>
      <c r="O247" s="13">
        <v>296365.67099999997</v>
      </c>
      <c r="P247" s="13">
        <v>272.01400000000001</v>
      </c>
      <c r="Q247" s="23"/>
    </row>
    <row r="248" spans="1:17" x14ac:dyDescent="0.25">
      <c r="A248" s="15">
        <v>44176</v>
      </c>
      <c r="B248" s="15">
        <v>44190</v>
      </c>
      <c r="C248" s="15">
        <v>44203</v>
      </c>
      <c r="D248" s="13">
        <f t="shared" si="6"/>
        <v>2652627.105</v>
      </c>
      <c r="E248" s="13">
        <v>817412.46499999997</v>
      </c>
      <c r="F248" s="13">
        <v>191654.728</v>
      </c>
      <c r="G248" s="13">
        <v>787527.92799999996</v>
      </c>
      <c r="H248" s="13">
        <v>54777.646000000001</v>
      </c>
      <c r="I248" s="13">
        <v>41919.784</v>
      </c>
      <c r="J248" s="13">
        <v>83648.292000000001</v>
      </c>
      <c r="K248" s="13">
        <v>157347.71</v>
      </c>
      <c r="L248" s="13">
        <v>157091.88200000001</v>
      </c>
      <c r="M248" s="13">
        <v>13499.087</v>
      </c>
      <c r="N248" s="13">
        <v>43571.339</v>
      </c>
      <c r="O248" s="13">
        <v>303990.34600000002</v>
      </c>
      <c r="P248" s="13">
        <v>185.898</v>
      </c>
      <c r="Q248" s="23"/>
    </row>
    <row r="249" spans="1:17" x14ac:dyDescent="0.25">
      <c r="A249" s="15">
        <v>44190</v>
      </c>
      <c r="B249" s="15">
        <v>44204</v>
      </c>
      <c r="C249" s="15">
        <v>44217</v>
      </c>
      <c r="D249" s="13">
        <f t="shared" si="6"/>
        <v>2604283.48</v>
      </c>
      <c r="E249" s="13">
        <v>805809.27099999995</v>
      </c>
      <c r="F249" s="13">
        <v>193291.549</v>
      </c>
      <c r="G249" s="13">
        <v>765613.87600000005</v>
      </c>
      <c r="H249" s="13">
        <v>53518.841999999997</v>
      </c>
      <c r="I249" s="13">
        <v>41359.131999999998</v>
      </c>
      <c r="J249" s="13">
        <v>80865.94</v>
      </c>
      <c r="K249" s="13">
        <v>159447.64300000001</v>
      </c>
      <c r="L249" s="13">
        <v>154729.45699999999</v>
      </c>
      <c r="M249" s="13">
        <v>17330.815999999999</v>
      </c>
      <c r="N249" s="13">
        <v>36977.756000000001</v>
      </c>
      <c r="O249" s="13">
        <v>295066.554</v>
      </c>
      <c r="P249" s="13">
        <v>272.64400000000001</v>
      </c>
      <c r="Q249" s="23"/>
    </row>
    <row r="250" spans="1:17" x14ac:dyDescent="0.25">
      <c r="A250" s="15">
        <v>44204</v>
      </c>
      <c r="B250" s="15">
        <v>44218</v>
      </c>
      <c r="C250" s="15">
        <v>44231</v>
      </c>
      <c r="D250" s="13">
        <f t="shared" ref="D250:D310" si="7">SUM(E250:P250)</f>
        <v>2500450.7239999995</v>
      </c>
      <c r="E250" s="13">
        <v>776986.24899999995</v>
      </c>
      <c r="F250" s="13">
        <v>175735.53099999999</v>
      </c>
      <c r="G250" s="13">
        <v>740895.35499999998</v>
      </c>
      <c r="H250" s="13">
        <v>49869.743999999999</v>
      </c>
      <c r="I250" s="13">
        <v>39441.620000000003</v>
      </c>
      <c r="J250" s="13">
        <v>76604.846000000005</v>
      </c>
      <c r="K250" s="13">
        <v>155556.58900000001</v>
      </c>
      <c r="L250" s="13">
        <v>148831.16200000001</v>
      </c>
      <c r="M250" s="13">
        <v>18941.816999999999</v>
      </c>
      <c r="N250" s="13">
        <v>35274.548000000003</v>
      </c>
      <c r="O250" s="13">
        <v>282028.48599999998</v>
      </c>
      <c r="P250" s="13">
        <v>284.77699999999999</v>
      </c>
      <c r="Q250" s="23"/>
    </row>
    <row r="251" spans="1:17" x14ac:dyDescent="0.25">
      <c r="A251" s="15">
        <v>44218</v>
      </c>
      <c r="B251" s="15">
        <v>44232</v>
      </c>
      <c r="C251" s="15">
        <v>44245</v>
      </c>
      <c r="D251" s="13">
        <f t="shared" si="7"/>
        <v>2542384.2459999998</v>
      </c>
      <c r="E251" s="13">
        <v>783513.60400000005</v>
      </c>
      <c r="F251" s="13">
        <v>182285.641</v>
      </c>
      <c r="G251" s="13">
        <v>752036.30599999998</v>
      </c>
      <c r="H251" s="13">
        <v>51202.754000000001</v>
      </c>
      <c r="I251" s="13">
        <v>39973.345000000001</v>
      </c>
      <c r="J251" s="13">
        <v>76509.232999999993</v>
      </c>
      <c r="K251" s="13">
        <v>162608.943</v>
      </c>
      <c r="L251" s="13">
        <v>150701.489</v>
      </c>
      <c r="M251" s="13">
        <v>19137.806</v>
      </c>
      <c r="N251" s="13">
        <v>35212.629000000001</v>
      </c>
      <c r="O251" s="13">
        <v>288969.41100000002</v>
      </c>
      <c r="P251" s="13">
        <v>233.08500000000001</v>
      </c>
      <c r="Q251" s="23"/>
    </row>
    <row r="252" spans="1:17" x14ac:dyDescent="0.25">
      <c r="A252" s="15">
        <v>44232</v>
      </c>
      <c r="B252" s="15">
        <v>44246</v>
      </c>
      <c r="C252" s="15">
        <v>44259</v>
      </c>
      <c r="D252" s="13">
        <f t="shared" si="7"/>
        <v>2435543.3650000002</v>
      </c>
      <c r="E252" s="13">
        <v>741609.84600000002</v>
      </c>
      <c r="F252" s="13">
        <v>177812.27499999999</v>
      </c>
      <c r="G252" s="13">
        <v>718147.821</v>
      </c>
      <c r="H252" s="13">
        <v>49281.584999999999</v>
      </c>
      <c r="I252" s="13">
        <v>38494.084000000003</v>
      </c>
      <c r="J252" s="13">
        <v>72998.995999999999</v>
      </c>
      <c r="K252" s="13">
        <v>154926.935</v>
      </c>
      <c r="L252" s="13">
        <v>146279.196</v>
      </c>
      <c r="M252" s="13">
        <v>18345.169000000002</v>
      </c>
      <c r="N252" s="13">
        <v>33379.267</v>
      </c>
      <c r="O252" s="13">
        <v>283940.75</v>
      </c>
      <c r="P252" s="13">
        <v>327.44099999999997</v>
      </c>
      <c r="Q252" s="23"/>
    </row>
    <row r="253" spans="1:17" x14ac:dyDescent="0.25">
      <c r="A253" s="15">
        <v>44246</v>
      </c>
      <c r="B253" s="15">
        <v>44260</v>
      </c>
      <c r="C253" s="15">
        <v>44273</v>
      </c>
      <c r="D253" s="13">
        <f t="shared" si="7"/>
        <v>2377350.0610000002</v>
      </c>
      <c r="E253" s="13">
        <v>725050.91200000001</v>
      </c>
      <c r="F253" s="13">
        <v>180924.88500000001</v>
      </c>
      <c r="G253" s="13">
        <v>700353.47400000005</v>
      </c>
      <c r="H253" s="13">
        <v>48786.464</v>
      </c>
      <c r="I253" s="13">
        <v>38094.749000000003</v>
      </c>
      <c r="J253" s="13">
        <v>71333.267000000007</v>
      </c>
      <c r="K253" s="13">
        <v>146093.08199999999</v>
      </c>
      <c r="L253" s="13">
        <v>143562.065</v>
      </c>
      <c r="M253" s="13">
        <v>18148.133999999998</v>
      </c>
      <c r="N253" s="13">
        <v>31677.377</v>
      </c>
      <c r="O253" s="13">
        <v>272958.84100000001</v>
      </c>
      <c r="P253" s="13">
        <v>366.81099999999998</v>
      </c>
      <c r="Q253" s="23"/>
    </row>
    <row r="254" spans="1:17" x14ac:dyDescent="0.25">
      <c r="A254" s="15">
        <v>44260</v>
      </c>
      <c r="B254" s="15">
        <v>44274</v>
      </c>
      <c r="C254" s="15">
        <v>44287</v>
      </c>
      <c r="D254" s="13">
        <f t="shared" si="7"/>
        <v>2519346.8760000002</v>
      </c>
      <c r="E254" s="13">
        <v>763992.321</v>
      </c>
      <c r="F254" s="13">
        <v>189793.783</v>
      </c>
      <c r="G254" s="13">
        <v>741991.08400000003</v>
      </c>
      <c r="H254" s="13">
        <v>52532.305</v>
      </c>
      <c r="I254" s="13">
        <v>40522.156000000003</v>
      </c>
      <c r="J254" s="13">
        <v>78327.218999999997</v>
      </c>
      <c r="K254" s="13">
        <v>153829.54999999999</v>
      </c>
      <c r="L254" s="13">
        <v>154086.821</v>
      </c>
      <c r="M254" s="13">
        <v>18305.659</v>
      </c>
      <c r="N254" s="13">
        <v>33758.921000000002</v>
      </c>
      <c r="O254" s="13">
        <v>291881.69500000001</v>
      </c>
      <c r="P254" s="13">
        <v>325.36200000000002</v>
      </c>
      <c r="Q254" s="23"/>
    </row>
    <row r="255" spans="1:17" x14ac:dyDescent="0.25">
      <c r="A255" s="15">
        <v>44274</v>
      </c>
      <c r="B255" s="15">
        <v>44288</v>
      </c>
      <c r="C255" s="15">
        <v>44301</v>
      </c>
      <c r="D255" s="13">
        <f t="shared" si="7"/>
        <v>2521832.6569999997</v>
      </c>
      <c r="E255" s="13">
        <v>771576.14899999998</v>
      </c>
      <c r="F255" s="13">
        <v>195926.87400000001</v>
      </c>
      <c r="G255" s="13">
        <v>738413.58499999996</v>
      </c>
      <c r="H255" s="13">
        <v>52294.896999999997</v>
      </c>
      <c r="I255" s="13">
        <v>40445.133999999998</v>
      </c>
      <c r="J255" s="13">
        <v>77637.396999999997</v>
      </c>
      <c r="K255" s="13">
        <v>154999.76999999999</v>
      </c>
      <c r="L255" s="13">
        <v>149726.149</v>
      </c>
      <c r="M255" s="13">
        <v>17652.384999999998</v>
      </c>
      <c r="N255" s="13">
        <v>32780.014000000003</v>
      </c>
      <c r="O255" s="13">
        <v>290065.59600000002</v>
      </c>
      <c r="P255" s="13">
        <v>314.70699999999999</v>
      </c>
      <c r="Q255" s="23"/>
    </row>
    <row r="256" spans="1:17" x14ac:dyDescent="0.25">
      <c r="A256" s="15">
        <v>44288</v>
      </c>
      <c r="B256" s="15">
        <v>44302</v>
      </c>
      <c r="C256" s="15">
        <v>44315</v>
      </c>
      <c r="D256" s="13">
        <f t="shared" si="7"/>
        <v>2681370.5490000006</v>
      </c>
      <c r="E256" s="13">
        <v>783373.60900000005</v>
      </c>
      <c r="F256" s="13">
        <v>197124.815</v>
      </c>
      <c r="G256" s="13">
        <v>792772.03099999996</v>
      </c>
      <c r="H256" s="13">
        <v>56214.305999999997</v>
      </c>
      <c r="I256" s="13">
        <v>43864.608</v>
      </c>
      <c r="J256" s="13">
        <v>85948.126000000004</v>
      </c>
      <c r="K256" s="13">
        <v>171285.859</v>
      </c>
      <c r="L256" s="13">
        <v>167511.33300000001</v>
      </c>
      <c r="M256" s="13">
        <v>18371.675999999999</v>
      </c>
      <c r="N256" s="13">
        <v>41316.642999999996</v>
      </c>
      <c r="O256" s="13">
        <v>323228.63400000002</v>
      </c>
      <c r="P256" s="13">
        <v>358.90899999999999</v>
      </c>
      <c r="Q256" s="23"/>
    </row>
    <row r="257" spans="1:17" x14ac:dyDescent="0.25">
      <c r="A257" s="15">
        <v>44302</v>
      </c>
      <c r="B257" s="15">
        <v>44316</v>
      </c>
      <c r="C257" s="15">
        <v>44332</v>
      </c>
      <c r="D257" s="13">
        <f t="shared" si="7"/>
        <v>2682159.8339999998</v>
      </c>
      <c r="E257" s="13">
        <v>793348.20499999996</v>
      </c>
      <c r="F257" s="13">
        <v>194082.399</v>
      </c>
      <c r="G257" s="13">
        <v>794171.98899999994</v>
      </c>
      <c r="H257" s="13">
        <v>56287.800999999999</v>
      </c>
      <c r="I257" s="13">
        <v>43761.347000000002</v>
      </c>
      <c r="J257" s="13">
        <v>85875.876000000004</v>
      </c>
      <c r="K257" s="13">
        <v>171083.41800000001</v>
      </c>
      <c r="L257" s="13">
        <v>166273.01</v>
      </c>
      <c r="M257" s="13">
        <v>18594.23</v>
      </c>
      <c r="N257" s="13">
        <v>40332.862000000001</v>
      </c>
      <c r="O257" s="13">
        <v>318009.86599999998</v>
      </c>
      <c r="P257" s="13">
        <v>338.83100000000002</v>
      </c>
      <c r="Q257" s="23"/>
    </row>
    <row r="258" spans="1:17" x14ac:dyDescent="0.25">
      <c r="A258" s="15">
        <v>44316</v>
      </c>
      <c r="B258" s="15">
        <v>44333</v>
      </c>
      <c r="C258" s="15">
        <v>44343</v>
      </c>
      <c r="D258" s="13">
        <f t="shared" si="7"/>
        <v>2717395.0640000002</v>
      </c>
      <c r="E258" s="13">
        <v>814091.93400000001</v>
      </c>
      <c r="F258" s="13">
        <v>198867.93100000001</v>
      </c>
      <c r="G258" s="13">
        <v>802393.91500000004</v>
      </c>
      <c r="H258" s="13">
        <v>59276.92</v>
      </c>
      <c r="I258" s="13">
        <v>42705.925999999999</v>
      </c>
      <c r="J258" s="13">
        <v>87987.388999999996</v>
      </c>
      <c r="K258" s="13">
        <v>165407.42300000001</v>
      </c>
      <c r="L258" s="13">
        <v>171788.899</v>
      </c>
      <c r="M258" s="13">
        <v>19836.725999999999</v>
      </c>
      <c r="N258" s="13">
        <v>40819.887000000002</v>
      </c>
      <c r="O258" s="13">
        <v>313903.87900000002</v>
      </c>
      <c r="P258" s="13">
        <v>314.23500000000001</v>
      </c>
      <c r="Q258" s="23"/>
    </row>
    <row r="259" spans="1:17" x14ac:dyDescent="0.25">
      <c r="A259" s="15">
        <v>44328</v>
      </c>
      <c r="B259" s="15">
        <v>44344</v>
      </c>
      <c r="C259" s="15">
        <v>44357</v>
      </c>
      <c r="D259" s="13">
        <f t="shared" si="7"/>
        <v>2762349.4509999999</v>
      </c>
      <c r="E259" s="13">
        <v>826910.05900000001</v>
      </c>
      <c r="F259" s="13">
        <v>206716.85800000001</v>
      </c>
      <c r="G259" s="13">
        <v>820262.37699999998</v>
      </c>
      <c r="H259" s="13">
        <v>60869.540999999997</v>
      </c>
      <c r="I259" s="13">
        <v>43440.589</v>
      </c>
      <c r="J259" s="13">
        <v>89206.426000000007</v>
      </c>
      <c r="K259" s="13">
        <v>164934.163</v>
      </c>
      <c r="L259" s="13">
        <v>175751.481</v>
      </c>
      <c r="M259" s="13">
        <v>20140.82</v>
      </c>
      <c r="N259" s="13">
        <v>41351.345000000001</v>
      </c>
      <c r="O259" s="13">
        <v>312553.85800000001</v>
      </c>
      <c r="P259" s="13">
        <v>211.934</v>
      </c>
      <c r="Q259" s="23"/>
    </row>
    <row r="260" spans="1:17" x14ac:dyDescent="0.25">
      <c r="A260" s="15">
        <v>44344</v>
      </c>
      <c r="B260" s="15">
        <v>44358</v>
      </c>
      <c r="C260" s="15">
        <v>44371</v>
      </c>
      <c r="D260" s="13">
        <f t="shared" si="7"/>
        <v>2817518.4609999997</v>
      </c>
      <c r="E260" s="13">
        <v>852601.49</v>
      </c>
      <c r="F260" s="13">
        <v>212102.08900000001</v>
      </c>
      <c r="G260" s="13">
        <v>833254.27800000005</v>
      </c>
      <c r="H260" s="13">
        <v>62693.47</v>
      </c>
      <c r="I260" s="13">
        <v>44509.572</v>
      </c>
      <c r="J260" s="13">
        <v>90978.982000000004</v>
      </c>
      <c r="K260" s="13">
        <v>166220.641</v>
      </c>
      <c r="L260" s="13">
        <v>178487.02100000001</v>
      </c>
      <c r="M260" s="13">
        <v>20482.14</v>
      </c>
      <c r="N260" s="13">
        <v>41426.641000000003</v>
      </c>
      <c r="O260" s="13">
        <v>314480.05</v>
      </c>
      <c r="P260" s="13">
        <v>282.08699999999999</v>
      </c>
      <c r="Q260" s="23"/>
    </row>
    <row r="261" spans="1:17" x14ac:dyDescent="0.25">
      <c r="A261" s="15">
        <v>44358</v>
      </c>
      <c r="B261" s="15">
        <v>44372</v>
      </c>
      <c r="C261" s="15">
        <v>44385</v>
      </c>
      <c r="D261" s="13">
        <f t="shared" si="7"/>
        <v>2850726.5329999989</v>
      </c>
      <c r="E261" s="13">
        <v>862032.78</v>
      </c>
      <c r="F261" s="13">
        <v>226272.182</v>
      </c>
      <c r="G261" s="13">
        <v>829527.68299999996</v>
      </c>
      <c r="H261" s="13">
        <v>65060.49</v>
      </c>
      <c r="I261" s="13">
        <v>44821.809000000001</v>
      </c>
      <c r="J261" s="13">
        <v>90892.194000000003</v>
      </c>
      <c r="K261" s="13">
        <v>167518.97399999999</v>
      </c>
      <c r="L261" s="13">
        <v>184061.408</v>
      </c>
      <c r="M261" s="13">
        <v>20453.080999999998</v>
      </c>
      <c r="N261" s="13">
        <v>41928.241000000002</v>
      </c>
      <c r="O261" s="13">
        <v>317871.283</v>
      </c>
      <c r="P261" s="13">
        <v>286.40800000000002</v>
      </c>
      <c r="Q261" s="23"/>
    </row>
    <row r="262" spans="1:17" x14ac:dyDescent="0.25">
      <c r="A262" s="15">
        <v>44372</v>
      </c>
      <c r="B262" s="15">
        <v>44386</v>
      </c>
      <c r="C262" s="15">
        <v>44402</v>
      </c>
      <c r="D262" s="13">
        <f t="shared" si="7"/>
        <v>2869318.3760000006</v>
      </c>
      <c r="E262" s="13">
        <v>871579.31200000003</v>
      </c>
      <c r="F262" s="13">
        <v>211352.774</v>
      </c>
      <c r="G262" s="13">
        <v>851066.01300000004</v>
      </c>
      <c r="H262" s="13">
        <v>66305.816000000006</v>
      </c>
      <c r="I262" s="13">
        <v>43770.584999999999</v>
      </c>
      <c r="J262" s="13">
        <v>90556.64</v>
      </c>
      <c r="K262" s="13">
        <v>174698.611</v>
      </c>
      <c r="L262" s="13">
        <v>182722.14499999999</v>
      </c>
      <c r="M262" s="13">
        <v>23330.278999999999</v>
      </c>
      <c r="N262" s="13">
        <v>39171.741999999998</v>
      </c>
      <c r="O262" s="13">
        <v>314447.842</v>
      </c>
      <c r="P262" s="13">
        <v>316.61700000000002</v>
      </c>
      <c r="Q262" s="23"/>
    </row>
    <row r="263" spans="1:17" x14ac:dyDescent="0.25">
      <c r="A263" s="15">
        <v>44386</v>
      </c>
      <c r="B263" s="15">
        <v>44403</v>
      </c>
      <c r="C263" s="15">
        <v>44413</v>
      </c>
      <c r="D263" s="13">
        <f t="shared" si="7"/>
        <v>2881824.7880000002</v>
      </c>
      <c r="E263" s="13">
        <v>879678.23100000003</v>
      </c>
      <c r="F263" s="13">
        <v>221492.51800000001</v>
      </c>
      <c r="G263" s="13">
        <v>846764.51</v>
      </c>
      <c r="H263" s="13">
        <v>70764.327000000005</v>
      </c>
      <c r="I263" s="13">
        <v>43442.614000000001</v>
      </c>
      <c r="J263" s="13">
        <v>90072.415999999997</v>
      </c>
      <c r="K263" s="13">
        <v>172125.264</v>
      </c>
      <c r="L263" s="13">
        <v>182290.65100000001</v>
      </c>
      <c r="M263" s="13">
        <v>23456.493999999999</v>
      </c>
      <c r="N263" s="13">
        <v>37740.976000000002</v>
      </c>
      <c r="O263" s="13">
        <v>313718.41600000003</v>
      </c>
      <c r="P263" s="13">
        <v>278.37099999999998</v>
      </c>
      <c r="Q263" s="23"/>
    </row>
    <row r="264" spans="1:17" x14ac:dyDescent="0.25">
      <c r="A264" s="15">
        <v>44396</v>
      </c>
      <c r="B264" s="15">
        <v>44414</v>
      </c>
      <c r="C264" s="15">
        <v>44427</v>
      </c>
      <c r="D264" s="13">
        <f t="shared" si="7"/>
        <v>2840462.8709999993</v>
      </c>
      <c r="E264" s="13">
        <v>873721.72</v>
      </c>
      <c r="F264" s="13">
        <v>230432.954</v>
      </c>
      <c r="G264" s="13">
        <v>826040.39800000004</v>
      </c>
      <c r="H264" s="13">
        <v>69892.269</v>
      </c>
      <c r="I264" s="13">
        <v>42528.567999999999</v>
      </c>
      <c r="J264" s="13">
        <v>88090.543000000005</v>
      </c>
      <c r="K264" s="13">
        <v>168985.065</v>
      </c>
      <c r="L264" s="13">
        <v>179137.68599999999</v>
      </c>
      <c r="M264" s="13">
        <v>23813.851999999999</v>
      </c>
      <c r="N264" s="13">
        <v>36954.796999999999</v>
      </c>
      <c r="O264" s="13">
        <v>300620.78399999999</v>
      </c>
      <c r="P264" s="13">
        <v>244.23500000000001</v>
      </c>
      <c r="Q264" s="23"/>
    </row>
    <row r="265" spans="1:17" x14ac:dyDescent="0.25">
      <c r="A265" s="15">
        <v>44414</v>
      </c>
      <c r="B265" s="15">
        <v>44428</v>
      </c>
      <c r="C265" s="15">
        <v>44441</v>
      </c>
      <c r="D265" s="13">
        <f t="shared" si="7"/>
        <v>2864979.966</v>
      </c>
      <c r="E265" s="13">
        <v>897503.90700000001</v>
      </c>
      <c r="F265" s="13">
        <v>213657.17800000001</v>
      </c>
      <c r="G265" s="13">
        <v>841218.96100000001</v>
      </c>
      <c r="H265" s="13">
        <v>72272.290999999997</v>
      </c>
      <c r="I265" s="13">
        <v>41846.144999999997</v>
      </c>
      <c r="J265" s="13">
        <v>88004.04</v>
      </c>
      <c r="K265" s="13">
        <v>168350.67300000001</v>
      </c>
      <c r="L265" s="13">
        <v>178452.37</v>
      </c>
      <c r="M265" s="13">
        <v>24805.134999999998</v>
      </c>
      <c r="N265" s="13">
        <v>37605.586000000003</v>
      </c>
      <c r="O265" s="13">
        <v>300998.63400000002</v>
      </c>
      <c r="P265" s="13">
        <v>265.04599999999999</v>
      </c>
      <c r="Q265" s="23"/>
    </row>
    <row r="266" spans="1:17" x14ac:dyDescent="0.25">
      <c r="A266" s="15">
        <v>44428</v>
      </c>
      <c r="B266" s="15">
        <v>44442</v>
      </c>
      <c r="C266" s="15">
        <v>44455</v>
      </c>
      <c r="D266" s="13">
        <f t="shared" si="7"/>
        <v>2851539.9619999998</v>
      </c>
      <c r="E266" s="13">
        <v>902056.44400000002</v>
      </c>
      <c r="F266" s="13">
        <v>204799.97500000001</v>
      </c>
      <c r="G266" s="13">
        <v>835441.96400000004</v>
      </c>
      <c r="H266" s="13">
        <v>73954.881999999998</v>
      </c>
      <c r="I266" s="13">
        <v>41339.053999999996</v>
      </c>
      <c r="J266" s="13">
        <v>86517.733999999997</v>
      </c>
      <c r="K266" s="13">
        <v>169078.37899999999</v>
      </c>
      <c r="L266" s="13">
        <v>173910.71599999999</v>
      </c>
      <c r="M266" s="13">
        <v>24571.184000000001</v>
      </c>
      <c r="N266" s="13">
        <v>37208.099000000002</v>
      </c>
      <c r="O266" s="13">
        <v>302278.82</v>
      </c>
      <c r="P266" s="13">
        <v>382.71100000000001</v>
      </c>
      <c r="Q266" s="23"/>
    </row>
    <row r="267" spans="1:17" x14ac:dyDescent="0.25">
      <c r="A267" s="15">
        <v>44442</v>
      </c>
      <c r="B267" s="15">
        <v>44456</v>
      </c>
      <c r="C267" s="15">
        <v>44469</v>
      </c>
      <c r="D267" s="13">
        <f t="shared" si="7"/>
        <v>2817817.6179999998</v>
      </c>
      <c r="E267" s="13">
        <v>897305.95600000001</v>
      </c>
      <c r="F267" s="13">
        <v>232082.36300000001</v>
      </c>
      <c r="G267" s="13">
        <v>800905.19900000002</v>
      </c>
      <c r="H267" s="13">
        <v>73083.784</v>
      </c>
      <c r="I267" s="13">
        <v>40619.016000000003</v>
      </c>
      <c r="J267" s="13">
        <v>84703.877999999997</v>
      </c>
      <c r="K267" s="13">
        <v>165210.94899999999</v>
      </c>
      <c r="L267" s="13">
        <v>170758.23800000001</v>
      </c>
      <c r="M267" s="13">
        <v>23809.84</v>
      </c>
      <c r="N267" s="13">
        <v>36118.213000000003</v>
      </c>
      <c r="O267" s="13">
        <v>292837.85399999999</v>
      </c>
      <c r="P267" s="13">
        <v>382.32799999999997</v>
      </c>
      <c r="Q267" s="23"/>
    </row>
    <row r="268" spans="1:17" x14ac:dyDescent="0.25">
      <c r="A268" s="15">
        <v>44456</v>
      </c>
      <c r="B268" s="15">
        <v>44470</v>
      </c>
      <c r="C268" s="15">
        <v>44483</v>
      </c>
      <c r="D268" s="13">
        <f t="shared" si="7"/>
        <v>2873266.4060000009</v>
      </c>
      <c r="E268" s="13">
        <v>917178.571</v>
      </c>
      <c r="F268" s="13">
        <v>233112.01699999999</v>
      </c>
      <c r="G268" s="13">
        <v>817494.99699999997</v>
      </c>
      <c r="H268" s="13">
        <v>76521.198000000004</v>
      </c>
      <c r="I268" s="13">
        <v>41035.375</v>
      </c>
      <c r="J268" s="13">
        <v>86642.024999999994</v>
      </c>
      <c r="K268" s="13">
        <v>167362.08100000001</v>
      </c>
      <c r="L268" s="13">
        <v>171264.82699999999</v>
      </c>
      <c r="M268" s="13">
        <v>24243.867999999999</v>
      </c>
      <c r="N268" s="13">
        <v>36355.091999999997</v>
      </c>
      <c r="O268" s="13">
        <v>301602.72600000002</v>
      </c>
      <c r="P268" s="13">
        <v>453.62900000000002</v>
      </c>
      <c r="Q268" s="23"/>
    </row>
    <row r="269" spans="1:17" x14ac:dyDescent="0.25">
      <c r="A269" s="15">
        <v>44470</v>
      </c>
      <c r="B269" s="15">
        <v>44484</v>
      </c>
      <c r="C269" s="15">
        <v>44500</v>
      </c>
      <c r="D269" s="13">
        <f t="shared" si="7"/>
        <v>2969764.6540000001</v>
      </c>
      <c r="E269" s="13">
        <v>937222.00699999998</v>
      </c>
      <c r="F269" s="13">
        <v>238972.42600000001</v>
      </c>
      <c r="G269" s="13">
        <v>852456.72600000002</v>
      </c>
      <c r="H269" s="13">
        <v>74826.168000000005</v>
      </c>
      <c r="I269" s="13">
        <v>42728.061000000002</v>
      </c>
      <c r="J269" s="13">
        <v>89834.338000000003</v>
      </c>
      <c r="K269" s="13">
        <v>174443.96599999999</v>
      </c>
      <c r="L269" s="13">
        <v>178241.28899999999</v>
      </c>
      <c r="M269" s="13">
        <v>25784.899000000001</v>
      </c>
      <c r="N269" s="13">
        <v>38229.875</v>
      </c>
      <c r="O269" s="13">
        <v>316253.55</v>
      </c>
      <c r="P269" s="13">
        <v>771.34900000000005</v>
      </c>
      <c r="Q269" s="23"/>
    </row>
    <row r="270" spans="1:17" x14ac:dyDescent="0.25">
      <c r="A270" s="15">
        <v>44484</v>
      </c>
      <c r="B270" s="15">
        <v>44501</v>
      </c>
      <c r="C270" s="15">
        <v>44511</v>
      </c>
      <c r="D270" s="13">
        <f t="shared" si="7"/>
        <v>3068538.5659999996</v>
      </c>
      <c r="E270" s="13">
        <v>973769.36100000003</v>
      </c>
      <c r="F270" s="13">
        <v>254716.64799999999</v>
      </c>
      <c r="G270" s="13">
        <v>877465.68700000003</v>
      </c>
      <c r="H270" s="13">
        <v>76824.316000000006</v>
      </c>
      <c r="I270" s="13">
        <v>45407.555999999997</v>
      </c>
      <c r="J270" s="13">
        <v>92108.303</v>
      </c>
      <c r="K270" s="13">
        <v>177030.182</v>
      </c>
      <c r="L270" s="13">
        <v>187584.973</v>
      </c>
      <c r="M270" s="13">
        <v>26851.858</v>
      </c>
      <c r="N270" s="13">
        <v>39117.165000000001</v>
      </c>
      <c r="O270" s="13">
        <v>316767.016</v>
      </c>
      <c r="P270" s="13">
        <v>895.50099999999998</v>
      </c>
      <c r="Q270" s="23"/>
    </row>
    <row r="271" spans="1:17" x14ac:dyDescent="0.25">
      <c r="A271" s="15">
        <v>44497</v>
      </c>
      <c r="B271" s="15">
        <v>44512</v>
      </c>
      <c r="C271" s="15">
        <v>44525</v>
      </c>
      <c r="D271" s="13">
        <f t="shared" si="7"/>
        <v>3162913.7349999999</v>
      </c>
      <c r="E271" s="13">
        <v>1001864.778</v>
      </c>
      <c r="F271" s="13">
        <v>259543.291</v>
      </c>
      <c r="G271" s="13">
        <v>909390.41599999997</v>
      </c>
      <c r="H271" s="13">
        <v>80622.5</v>
      </c>
      <c r="I271" s="13">
        <v>46360.156000000003</v>
      </c>
      <c r="J271" s="13">
        <v>94076.313999999998</v>
      </c>
      <c r="K271" s="13">
        <v>182394.99400000001</v>
      </c>
      <c r="L271" s="13">
        <v>195792.99400000001</v>
      </c>
      <c r="M271" s="13">
        <v>27884.135999999999</v>
      </c>
      <c r="N271" s="13">
        <v>40396.966999999997</v>
      </c>
      <c r="O271" s="13">
        <v>323709.54800000001</v>
      </c>
      <c r="P271" s="13">
        <v>877.64099999999996</v>
      </c>
      <c r="Q271" s="23"/>
    </row>
    <row r="272" spans="1:17" x14ac:dyDescent="0.25">
      <c r="A272" s="15">
        <v>44512</v>
      </c>
      <c r="B272" s="15">
        <v>44526</v>
      </c>
      <c r="C272" s="15">
        <v>44539</v>
      </c>
      <c r="D272" s="13">
        <f t="shared" si="7"/>
        <v>3315402.5839999998</v>
      </c>
      <c r="E272" s="13">
        <v>1062865.5660000001</v>
      </c>
      <c r="F272" s="13">
        <v>292666.533</v>
      </c>
      <c r="G272" s="13">
        <v>941078.44700000004</v>
      </c>
      <c r="H272" s="13">
        <v>81232.570999999996</v>
      </c>
      <c r="I272" s="13">
        <v>48609.451000000001</v>
      </c>
      <c r="J272" s="13">
        <v>97301.630999999994</v>
      </c>
      <c r="K272" s="13">
        <v>199313.196</v>
      </c>
      <c r="L272" s="13">
        <v>190607.307</v>
      </c>
      <c r="M272" s="13">
        <v>28397.809000000001</v>
      </c>
      <c r="N272" s="13">
        <v>41734.146999999997</v>
      </c>
      <c r="O272" s="13">
        <v>330712.016</v>
      </c>
      <c r="P272" s="13">
        <v>883.91</v>
      </c>
      <c r="Q272" s="23"/>
    </row>
    <row r="273" spans="1:17" x14ac:dyDescent="0.25">
      <c r="A273" s="15">
        <v>44526</v>
      </c>
      <c r="B273" s="15">
        <v>44540</v>
      </c>
      <c r="C273" s="15">
        <v>44553</v>
      </c>
      <c r="D273" s="13">
        <f t="shared" si="7"/>
        <v>3959139.7250000001</v>
      </c>
      <c r="E273" s="13">
        <v>1292662.6200000001</v>
      </c>
      <c r="F273" s="13">
        <v>332039.87</v>
      </c>
      <c r="G273" s="13">
        <v>1117127.8559999999</v>
      </c>
      <c r="H273" s="13">
        <v>91617.27</v>
      </c>
      <c r="I273" s="13">
        <v>60771.398000000001</v>
      </c>
      <c r="J273" s="13">
        <v>114960.755</v>
      </c>
      <c r="K273" s="13">
        <v>230435.337</v>
      </c>
      <c r="L273" s="13">
        <v>236969.01800000001</v>
      </c>
      <c r="M273" s="13">
        <v>33109.379999999997</v>
      </c>
      <c r="N273" s="13">
        <v>50472.472000000002</v>
      </c>
      <c r="O273" s="13">
        <v>397903.68900000001</v>
      </c>
      <c r="P273" s="13">
        <v>1070.06</v>
      </c>
      <c r="Q273" s="23"/>
    </row>
    <row r="274" spans="1:17" x14ac:dyDescent="0.25">
      <c r="A274" s="15">
        <v>44540</v>
      </c>
      <c r="B274" s="15">
        <v>44554</v>
      </c>
      <c r="C274" s="15">
        <v>44567</v>
      </c>
      <c r="D274" s="13">
        <f t="shared" si="7"/>
        <v>4551397.9529999988</v>
      </c>
      <c r="E274" s="13">
        <v>1493745.1259999999</v>
      </c>
      <c r="F274" s="13">
        <v>394440.049</v>
      </c>
      <c r="G274" s="13">
        <v>1257385.4709999999</v>
      </c>
      <c r="H274" s="13">
        <v>101794.603</v>
      </c>
      <c r="I274" s="13">
        <v>68525.985000000001</v>
      </c>
      <c r="J274" s="13">
        <v>132031.31899999999</v>
      </c>
      <c r="K274" s="13">
        <v>261100.85399999999</v>
      </c>
      <c r="L274" s="13">
        <v>283960.56199999998</v>
      </c>
      <c r="M274" s="13">
        <v>36203.394</v>
      </c>
      <c r="N274" s="13">
        <v>64156.987000000001</v>
      </c>
      <c r="O274" s="13">
        <v>457138.58299999998</v>
      </c>
      <c r="P274" s="13">
        <v>915.02</v>
      </c>
      <c r="Q274" s="23"/>
    </row>
    <row r="275" spans="1:17" x14ac:dyDescent="0.25">
      <c r="A275" s="15">
        <v>44554</v>
      </c>
      <c r="B275" s="15">
        <v>44568</v>
      </c>
      <c r="C275" s="15">
        <v>44581</v>
      </c>
      <c r="D275" s="13">
        <f t="shared" si="7"/>
        <v>3875463.9290000005</v>
      </c>
      <c r="E275" s="13">
        <v>1355250.5190000001</v>
      </c>
      <c r="F275" s="13">
        <v>333704.01</v>
      </c>
      <c r="G275" s="13">
        <v>1017078.993</v>
      </c>
      <c r="H275" s="13">
        <v>80382.349000000002</v>
      </c>
      <c r="I275" s="13">
        <v>57152.762000000002</v>
      </c>
      <c r="J275" s="13">
        <v>109348.173</v>
      </c>
      <c r="K275" s="13">
        <v>217663.796</v>
      </c>
      <c r="L275" s="13">
        <v>242944.761</v>
      </c>
      <c r="M275" s="13">
        <v>26916.383999999998</v>
      </c>
      <c r="N275" s="13">
        <v>48672.055</v>
      </c>
      <c r="O275" s="13">
        <v>385480.87300000002</v>
      </c>
      <c r="P275" s="13">
        <v>869.25400000000002</v>
      </c>
      <c r="Q275" s="23"/>
    </row>
    <row r="276" spans="1:17" x14ac:dyDescent="0.25">
      <c r="A276" s="15">
        <v>44568</v>
      </c>
      <c r="B276" s="15">
        <v>44582</v>
      </c>
      <c r="C276" s="15">
        <v>44595</v>
      </c>
      <c r="D276" s="13">
        <f t="shared" si="7"/>
        <v>4543067.4019999998</v>
      </c>
      <c r="E276" s="13">
        <v>1577054.8459999999</v>
      </c>
      <c r="F276" s="13">
        <v>375183.73</v>
      </c>
      <c r="G276" s="13">
        <v>1205158.4920000001</v>
      </c>
      <c r="H276" s="13">
        <v>91749.96</v>
      </c>
      <c r="I276" s="13">
        <v>66783.055999999997</v>
      </c>
      <c r="J276" s="13">
        <v>129440.788</v>
      </c>
      <c r="K276" s="13">
        <v>254466.49400000001</v>
      </c>
      <c r="L276" s="13">
        <v>288744.408</v>
      </c>
      <c r="M276" s="13">
        <v>38291.288</v>
      </c>
      <c r="N276" s="13">
        <v>56932.023999999998</v>
      </c>
      <c r="O276" s="13">
        <v>458364.22600000002</v>
      </c>
      <c r="P276" s="13">
        <v>898.09</v>
      </c>
      <c r="Q276" s="23"/>
    </row>
    <row r="277" spans="1:17" x14ac:dyDescent="0.25">
      <c r="A277" s="15">
        <v>44582</v>
      </c>
      <c r="B277" s="15">
        <v>44596</v>
      </c>
      <c r="C277" s="15">
        <v>44609</v>
      </c>
      <c r="D277" s="13">
        <f t="shared" si="7"/>
        <v>4461349.4720000001</v>
      </c>
      <c r="E277" s="13">
        <v>1554463.284</v>
      </c>
      <c r="F277" s="13">
        <v>379836.99800000002</v>
      </c>
      <c r="G277" s="13">
        <v>1152049.5390000001</v>
      </c>
      <c r="H277" s="13">
        <v>87718.349000000002</v>
      </c>
      <c r="I277" s="13">
        <v>65145.911999999997</v>
      </c>
      <c r="J277" s="13">
        <v>127035.174</v>
      </c>
      <c r="K277" s="13">
        <v>261062.05300000001</v>
      </c>
      <c r="L277" s="13">
        <v>286572.71299999999</v>
      </c>
      <c r="M277" s="13">
        <v>38383.828999999998</v>
      </c>
      <c r="N277" s="13">
        <v>55727.131000000001</v>
      </c>
      <c r="O277" s="13">
        <v>452306.99800000002</v>
      </c>
      <c r="P277" s="13">
        <v>1047.492</v>
      </c>
      <c r="Q277" s="23"/>
    </row>
    <row r="278" spans="1:17" x14ac:dyDescent="0.25">
      <c r="A278" s="15">
        <v>44596</v>
      </c>
      <c r="B278" s="15">
        <v>44610</v>
      </c>
      <c r="C278" s="15">
        <v>44623</v>
      </c>
      <c r="D278" s="13">
        <f t="shared" si="7"/>
        <v>4384097.3489999995</v>
      </c>
      <c r="E278" s="13">
        <v>1540890.4539999999</v>
      </c>
      <c r="F278" s="13">
        <v>380968.11599999998</v>
      </c>
      <c r="G278" s="13">
        <v>1081636.716</v>
      </c>
      <c r="H278" s="13">
        <v>87479.135999999999</v>
      </c>
      <c r="I278" s="13">
        <v>62996.228999999999</v>
      </c>
      <c r="J278" s="13">
        <v>125640.588</v>
      </c>
      <c r="K278" s="13">
        <v>263160.935</v>
      </c>
      <c r="L278" s="13">
        <v>286983.22600000002</v>
      </c>
      <c r="M278" s="13">
        <v>39466.084000000003</v>
      </c>
      <c r="N278" s="13">
        <v>58231.375999999997</v>
      </c>
      <c r="O278" s="13">
        <v>455685.85800000001</v>
      </c>
      <c r="P278" s="13">
        <v>958.63099999999997</v>
      </c>
      <c r="Q278" s="23"/>
    </row>
    <row r="279" spans="1:17" x14ac:dyDescent="0.25">
      <c r="A279" s="15">
        <v>44610</v>
      </c>
      <c r="B279" s="15">
        <v>44624</v>
      </c>
      <c r="C279" s="15">
        <v>44637</v>
      </c>
      <c r="D279" s="13">
        <f t="shared" si="7"/>
        <v>4300100.5529999994</v>
      </c>
      <c r="E279" s="13">
        <v>1521587.92</v>
      </c>
      <c r="F279" s="13">
        <v>359086.94300000003</v>
      </c>
      <c r="G279" s="13">
        <v>1034070.927</v>
      </c>
      <c r="H279" s="13">
        <v>92304.429000000004</v>
      </c>
      <c r="I279" s="13">
        <v>61893.921000000002</v>
      </c>
      <c r="J279" s="13">
        <v>121387.014</v>
      </c>
      <c r="K279" s="13">
        <v>268878.11300000001</v>
      </c>
      <c r="L279" s="13">
        <v>288484.91499999998</v>
      </c>
      <c r="M279" s="13">
        <v>38218.152000000002</v>
      </c>
      <c r="N279" s="13">
        <v>56707.983</v>
      </c>
      <c r="O279" s="13">
        <v>456307.36200000002</v>
      </c>
      <c r="P279" s="13">
        <v>1172.874</v>
      </c>
      <c r="Q279" s="23"/>
    </row>
    <row r="280" spans="1:17" x14ac:dyDescent="0.25">
      <c r="A280" s="15">
        <v>44624</v>
      </c>
      <c r="B280" s="15">
        <v>44638</v>
      </c>
      <c r="C280" s="15">
        <v>44651</v>
      </c>
      <c r="D280" s="13">
        <f t="shared" si="7"/>
        <v>4416911.1810000008</v>
      </c>
      <c r="E280" s="13">
        <v>1587604.1059999999</v>
      </c>
      <c r="F280" s="13">
        <v>360804.53</v>
      </c>
      <c r="G280" s="13">
        <v>1056125.0430000001</v>
      </c>
      <c r="H280" s="13">
        <v>100044.40399999999</v>
      </c>
      <c r="I280" s="13">
        <v>62693.440000000002</v>
      </c>
      <c r="J280" s="13">
        <v>121454.39599999999</v>
      </c>
      <c r="K280" s="13">
        <v>276246.087</v>
      </c>
      <c r="L280" s="13">
        <v>290335.79300000001</v>
      </c>
      <c r="M280" s="13">
        <v>36908.616000000002</v>
      </c>
      <c r="N280" s="13">
        <v>60541.065999999999</v>
      </c>
      <c r="O280" s="13">
        <v>463604.97100000002</v>
      </c>
      <c r="P280" s="13">
        <v>548.72900000000004</v>
      </c>
      <c r="Q280" s="23"/>
    </row>
    <row r="281" spans="1:17" x14ac:dyDescent="0.25">
      <c r="A281" s="15">
        <v>44638</v>
      </c>
      <c r="B281" s="15">
        <v>44652</v>
      </c>
      <c r="C281" s="15">
        <v>44665</v>
      </c>
      <c r="D281" s="13">
        <f t="shared" si="7"/>
        <v>4613337.1179999998</v>
      </c>
      <c r="E281" s="13">
        <v>1656885.811</v>
      </c>
      <c r="F281" s="13">
        <v>389855.75400000002</v>
      </c>
      <c r="G281" s="13">
        <v>1095822.1170000001</v>
      </c>
      <c r="H281" s="13">
        <v>107069.19500000001</v>
      </c>
      <c r="I281" s="13">
        <v>68564.748000000007</v>
      </c>
      <c r="J281" s="13">
        <v>124721.45699999999</v>
      </c>
      <c r="K281" s="13">
        <v>287878.821</v>
      </c>
      <c r="L281" s="13">
        <v>300844.73100000003</v>
      </c>
      <c r="M281" s="13">
        <v>35599.591</v>
      </c>
      <c r="N281" s="13">
        <v>59539.947999999997</v>
      </c>
      <c r="O281" s="13">
        <v>486179.09899999999</v>
      </c>
      <c r="P281" s="13">
        <v>375.846</v>
      </c>
      <c r="Q281" s="23"/>
    </row>
    <row r="282" spans="1:17" x14ac:dyDescent="0.25">
      <c r="A282" s="15">
        <v>44652</v>
      </c>
      <c r="B282" s="15">
        <v>44666</v>
      </c>
      <c r="C282" s="15">
        <v>44679</v>
      </c>
      <c r="D282" s="13">
        <f t="shared" si="7"/>
        <v>4602589.4840000002</v>
      </c>
      <c r="E282" s="13">
        <v>1655404.0430000001</v>
      </c>
      <c r="F282" s="13">
        <v>383019.14</v>
      </c>
      <c r="G282" s="13">
        <v>1091824.6170000001</v>
      </c>
      <c r="H282" s="13">
        <v>115673.25900000001</v>
      </c>
      <c r="I282" s="13">
        <v>68136.925000000003</v>
      </c>
      <c r="J282" s="13">
        <v>122228.583</v>
      </c>
      <c r="K282" s="13">
        <v>288694.38299999997</v>
      </c>
      <c r="L282" s="13">
        <v>299352.77500000002</v>
      </c>
      <c r="M282" s="13">
        <v>35522.451999999997</v>
      </c>
      <c r="N282" s="13">
        <v>58877.527000000002</v>
      </c>
      <c r="O282" s="13">
        <v>483214.07900000003</v>
      </c>
      <c r="P282" s="13">
        <v>641.70100000000002</v>
      </c>
      <c r="Q282" s="23"/>
    </row>
    <row r="283" spans="1:17" x14ac:dyDescent="0.25">
      <c r="A283" s="15">
        <v>44666</v>
      </c>
      <c r="B283" s="15">
        <v>44680</v>
      </c>
      <c r="C283" s="15">
        <v>44693</v>
      </c>
      <c r="D283" s="13">
        <f t="shared" si="7"/>
        <v>4582788.3500000006</v>
      </c>
      <c r="E283" s="13">
        <v>1647697.1470000001</v>
      </c>
      <c r="F283" s="13">
        <v>378496.033</v>
      </c>
      <c r="G283" s="13">
        <v>1085128.5079999999</v>
      </c>
      <c r="H283" s="13">
        <v>122323.175</v>
      </c>
      <c r="I283" s="13">
        <v>67444.418000000005</v>
      </c>
      <c r="J283" s="13">
        <v>121109.83100000001</v>
      </c>
      <c r="K283" s="13">
        <v>292779.478</v>
      </c>
      <c r="L283" s="13">
        <v>294018.62800000003</v>
      </c>
      <c r="M283" s="13">
        <v>36058.381999999998</v>
      </c>
      <c r="N283" s="13">
        <v>58293.591999999997</v>
      </c>
      <c r="O283" s="13">
        <v>478912.75300000003</v>
      </c>
      <c r="P283" s="13">
        <v>526.40499999999997</v>
      </c>
      <c r="Q283" s="23"/>
    </row>
    <row r="284" spans="1:17" x14ac:dyDescent="0.25">
      <c r="A284" s="15">
        <v>44680</v>
      </c>
      <c r="B284" s="15">
        <v>44694</v>
      </c>
      <c r="C284" s="15">
        <v>44707</v>
      </c>
      <c r="D284" s="13">
        <f t="shared" si="7"/>
        <v>4585828.7909999993</v>
      </c>
      <c r="E284" s="13">
        <v>1660756.257</v>
      </c>
      <c r="F284" s="13">
        <v>353409.14600000001</v>
      </c>
      <c r="G284" s="13">
        <v>1093969.652</v>
      </c>
      <c r="H284" s="13">
        <v>128307.519</v>
      </c>
      <c r="I284" s="13">
        <v>66753.907999999996</v>
      </c>
      <c r="J284" s="13">
        <v>118555.85799999999</v>
      </c>
      <c r="K284" s="13">
        <v>289701.90000000002</v>
      </c>
      <c r="L284" s="13">
        <v>300445.80499999999</v>
      </c>
      <c r="M284" s="13">
        <v>37267.476999999999</v>
      </c>
      <c r="N284" s="13">
        <v>59506.938000000002</v>
      </c>
      <c r="O284" s="13">
        <v>476548.07699999999</v>
      </c>
      <c r="P284" s="13">
        <v>606.25400000000002</v>
      </c>
      <c r="Q284" s="23"/>
    </row>
    <row r="285" spans="1:17" x14ac:dyDescent="0.25">
      <c r="A285" s="15">
        <v>44694</v>
      </c>
      <c r="B285" s="15">
        <v>44708</v>
      </c>
      <c r="C285" s="15">
        <v>44721</v>
      </c>
      <c r="D285" s="13">
        <f t="shared" si="7"/>
        <v>4767167.9760000007</v>
      </c>
      <c r="E285" s="13">
        <v>1732435.577</v>
      </c>
      <c r="F285" s="13">
        <v>374025.571</v>
      </c>
      <c r="G285" s="13">
        <v>1130353.2379999999</v>
      </c>
      <c r="H285" s="13">
        <v>134243.02499999999</v>
      </c>
      <c r="I285" s="13">
        <v>69276.361999999994</v>
      </c>
      <c r="J285" s="13">
        <v>122089.41499999999</v>
      </c>
      <c r="K285" s="13">
        <v>303926.39799999999</v>
      </c>
      <c r="L285" s="13">
        <v>313054.54200000002</v>
      </c>
      <c r="M285" s="13">
        <v>39492.798999999999</v>
      </c>
      <c r="N285" s="13">
        <v>61852.038999999997</v>
      </c>
      <c r="O285" s="13">
        <v>485780.04800000001</v>
      </c>
      <c r="P285" s="13">
        <v>638.96199999999999</v>
      </c>
      <c r="Q285" s="23"/>
    </row>
    <row r="286" spans="1:17" x14ac:dyDescent="0.25">
      <c r="A286" s="15">
        <v>44708</v>
      </c>
      <c r="B286" s="15">
        <v>44722</v>
      </c>
      <c r="C286" s="15">
        <v>44735</v>
      </c>
      <c r="D286" s="13">
        <f t="shared" si="7"/>
        <v>5085231.6449999986</v>
      </c>
      <c r="E286" s="13">
        <v>1861460.3629999999</v>
      </c>
      <c r="F286" s="13">
        <v>390365.31699999998</v>
      </c>
      <c r="G286" s="13">
        <v>1206164.2649999999</v>
      </c>
      <c r="H286" s="13">
        <v>147297.446</v>
      </c>
      <c r="I286" s="13">
        <v>73504.945000000007</v>
      </c>
      <c r="J286" s="13">
        <v>132061.484</v>
      </c>
      <c r="K286" s="13">
        <v>332075.24099999998</v>
      </c>
      <c r="L286" s="13">
        <v>329136.29200000002</v>
      </c>
      <c r="M286" s="13">
        <v>42453.733999999997</v>
      </c>
      <c r="N286" s="13">
        <v>64746.667999999998</v>
      </c>
      <c r="O286" s="13">
        <v>504924.94199999998</v>
      </c>
      <c r="P286" s="13">
        <v>1040.9480000000001</v>
      </c>
      <c r="Q286" s="23"/>
    </row>
    <row r="287" spans="1:17" x14ac:dyDescent="0.25">
      <c r="A287" s="15">
        <v>44722</v>
      </c>
      <c r="B287" s="15">
        <v>44736</v>
      </c>
      <c r="C287" s="15">
        <v>44749</v>
      </c>
      <c r="D287" s="13">
        <f t="shared" si="7"/>
        <v>5362564.6799999988</v>
      </c>
      <c r="E287" s="13">
        <v>1949196.628</v>
      </c>
      <c r="F287" s="13">
        <v>430048.36099999998</v>
      </c>
      <c r="G287" s="13">
        <v>1254319.2709999999</v>
      </c>
      <c r="H287" s="13">
        <v>158317.641</v>
      </c>
      <c r="I287" s="13">
        <v>76948.183999999994</v>
      </c>
      <c r="J287" s="13">
        <v>138320.19399999999</v>
      </c>
      <c r="K287" s="13">
        <v>358463.82400000002</v>
      </c>
      <c r="L287" s="13">
        <v>344307.36800000002</v>
      </c>
      <c r="M287" s="13">
        <v>60254.516000000003</v>
      </c>
      <c r="N287" s="13">
        <v>68994.770999999993</v>
      </c>
      <c r="O287" s="13">
        <v>521800.05499999999</v>
      </c>
      <c r="P287" s="13">
        <v>1593.867</v>
      </c>
      <c r="Q287" s="23"/>
    </row>
    <row r="288" spans="1:17" x14ac:dyDescent="0.25">
      <c r="A288" s="15">
        <v>44736</v>
      </c>
      <c r="B288" s="15">
        <v>44750</v>
      </c>
      <c r="C288" s="15">
        <v>44763</v>
      </c>
      <c r="D288" s="13">
        <f t="shared" si="7"/>
        <v>5383066.5500000007</v>
      </c>
      <c r="E288" s="13">
        <v>1947995.5160000001</v>
      </c>
      <c r="F288" s="13">
        <v>436415.64399999997</v>
      </c>
      <c r="G288" s="13">
        <v>1267924.273</v>
      </c>
      <c r="H288" s="13">
        <v>164735.745</v>
      </c>
      <c r="I288" s="13">
        <v>75834.278999999995</v>
      </c>
      <c r="J288" s="13">
        <v>137217.15100000001</v>
      </c>
      <c r="K288" s="13">
        <v>357089.44</v>
      </c>
      <c r="L288" s="13">
        <v>345888.61300000001</v>
      </c>
      <c r="M288" s="13">
        <v>57044.006999999998</v>
      </c>
      <c r="N288" s="13">
        <v>69091.894</v>
      </c>
      <c r="O288" s="13">
        <v>521972.408</v>
      </c>
      <c r="P288" s="13">
        <v>1857.58</v>
      </c>
      <c r="Q288" s="23"/>
    </row>
    <row r="289" spans="1:17" x14ac:dyDescent="0.25">
      <c r="A289" s="15">
        <v>44750</v>
      </c>
      <c r="B289" s="15">
        <v>44764</v>
      </c>
      <c r="C289" s="15">
        <v>44777</v>
      </c>
      <c r="D289" s="13">
        <f t="shared" si="7"/>
        <v>5253470.7699999996</v>
      </c>
      <c r="E289" s="13">
        <v>1883287.92</v>
      </c>
      <c r="F289" s="13">
        <v>422912.47100000002</v>
      </c>
      <c r="G289" s="13">
        <v>1250344.327</v>
      </c>
      <c r="H289" s="13">
        <v>161803.14499999999</v>
      </c>
      <c r="I289" s="13">
        <v>72008.236000000004</v>
      </c>
      <c r="J289" s="13">
        <v>133776.07699999999</v>
      </c>
      <c r="K289" s="13">
        <v>348628.70199999999</v>
      </c>
      <c r="L289" s="13">
        <v>340176.25799999997</v>
      </c>
      <c r="M289" s="13">
        <v>54051.491000000002</v>
      </c>
      <c r="N289" s="13">
        <v>68465.368000000002</v>
      </c>
      <c r="O289" s="13">
        <v>517025.772</v>
      </c>
      <c r="P289" s="13">
        <v>991.00300000000004</v>
      </c>
      <c r="Q289" s="23"/>
    </row>
    <row r="290" spans="1:17" x14ac:dyDescent="0.25">
      <c r="A290" s="15">
        <v>44764</v>
      </c>
      <c r="B290" s="15">
        <v>44778</v>
      </c>
      <c r="C290" s="15">
        <v>44791</v>
      </c>
      <c r="D290" s="13">
        <f t="shared" si="7"/>
        <v>5385863.2139999988</v>
      </c>
      <c r="E290" s="13">
        <v>1943308.061</v>
      </c>
      <c r="F290" s="13">
        <v>421352.56599999999</v>
      </c>
      <c r="G290" s="13">
        <v>1297071.713</v>
      </c>
      <c r="H290" s="13">
        <v>165160.64499999999</v>
      </c>
      <c r="I290" s="13">
        <v>71414.391000000003</v>
      </c>
      <c r="J290" s="13">
        <v>136104.16699999999</v>
      </c>
      <c r="K290" s="13">
        <v>360654.89600000001</v>
      </c>
      <c r="L290" s="13">
        <v>341983.826</v>
      </c>
      <c r="M290" s="13">
        <v>53515.521000000001</v>
      </c>
      <c r="N290" s="13">
        <v>69732.880999999994</v>
      </c>
      <c r="O290" s="13">
        <v>524823.13399999996</v>
      </c>
      <c r="P290" s="13">
        <v>741.41300000000001</v>
      </c>
      <c r="Q290" s="23"/>
    </row>
    <row r="291" spans="1:17" x14ac:dyDescent="0.25">
      <c r="A291" s="15">
        <v>44778</v>
      </c>
      <c r="B291" s="15">
        <v>44792</v>
      </c>
      <c r="C291" s="15">
        <v>44805</v>
      </c>
      <c r="D291" s="13">
        <f t="shared" si="7"/>
        <v>5593954.6770000001</v>
      </c>
      <c r="E291" s="13">
        <v>1994234.615</v>
      </c>
      <c r="F291" s="13">
        <v>495517.17800000001</v>
      </c>
      <c r="G291" s="13">
        <v>1346808.6969999999</v>
      </c>
      <c r="H291" s="13">
        <v>176109.40100000001</v>
      </c>
      <c r="I291" s="13">
        <v>74439.106</v>
      </c>
      <c r="J291" s="13">
        <v>138309.70800000001</v>
      </c>
      <c r="K291" s="13">
        <v>367557.55099999998</v>
      </c>
      <c r="L291" s="13">
        <v>343182.50300000003</v>
      </c>
      <c r="M291" s="13">
        <v>52030.398999999998</v>
      </c>
      <c r="N291" s="13">
        <v>70956.843999999997</v>
      </c>
      <c r="O291" s="13">
        <v>533717.69499999995</v>
      </c>
      <c r="P291" s="13">
        <v>1090.98</v>
      </c>
      <c r="Q291" s="23"/>
    </row>
    <row r="292" spans="1:17" x14ac:dyDescent="0.25">
      <c r="A292" s="15">
        <v>44792</v>
      </c>
      <c r="B292" s="15">
        <v>44806</v>
      </c>
      <c r="C292" s="15">
        <v>44819</v>
      </c>
      <c r="D292" s="13">
        <f t="shared" si="7"/>
        <v>5578287.1529999981</v>
      </c>
      <c r="E292" s="13">
        <v>1987056.4080000001</v>
      </c>
      <c r="F292" s="13">
        <v>467440.38400000002</v>
      </c>
      <c r="G292" s="13">
        <v>1360557.013</v>
      </c>
      <c r="H292" s="13">
        <v>178412.23199999999</v>
      </c>
      <c r="I292" s="13">
        <v>72379.797000000006</v>
      </c>
      <c r="J292" s="13">
        <v>137883.47899999999</v>
      </c>
      <c r="K292" s="13">
        <v>375115.21399999998</v>
      </c>
      <c r="L292" s="13">
        <v>341946.902</v>
      </c>
      <c r="M292" s="13">
        <v>52518.964</v>
      </c>
      <c r="N292" s="13">
        <v>70889.858999999997</v>
      </c>
      <c r="O292" s="13">
        <v>532740.96600000001</v>
      </c>
      <c r="P292" s="13">
        <v>1345.9349999999999</v>
      </c>
      <c r="Q292" s="23"/>
    </row>
    <row r="293" spans="1:17" x14ac:dyDescent="0.25">
      <c r="A293" s="15">
        <v>44806</v>
      </c>
      <c r="B293" s="15">
        <v>44820</v>
      </c>
      <c r="C293" s="15">
        <v>44833</v>
      </c>
      <c r="D293" s="13">
        <f t="shared" si="7"/>
        <v>5575699.1630000016</v>
      </c>
      <c r="E293" s="13">
        <v>1980930.638</v>
      </c>
      <c r="F293" s="13">
        <v>525657.36899999995</v>
      </c>
      <c r="G293" s="13">
        <v>1303628.7350000001</v>
      </c>
      <c r="H293" s="13">
        <v>181205.69699999999</v>
      </c>
      <c r="I293" s="13">
        <v>71951.020999999993</v>
      </c>
      <c r="J293" s="13">
        <v>137364.04800000001</v>
      </c>
      <c r="K293" s="13">
        <v>370291.45600000001</v>
      </c>
      <c r="L293" s="13">
        <v>339146.81</v>
      </c>
      <c r="M293" s="13">
        <v>52794.584000000003</v>
      </c>
      <c r="N293" s="13">
        <v>75651.467999999993</v>
      </c>
      <c r="O293" s="13">
        <v>535576.39099999995</v>
      </c>
      <c r="P293" s="13">
        <v>1500.9459999999999</v>
      </c>
      <c r="Q293" s="23"/>
    </row>
    <row r="294" spans="1:17" x14ac:dyDescent="0.25">
      <c r="A294" s="15">
        <v>44820</v>
      </c>
      <c r="B294" s="15">
        <v>44834</v>
      </c>
      <c r="C294" s="15">
        <v>44847</v>
      </c>
      <c r="D294" s="13">
        <f t="shared" si="7"/>
        <v>5583625.602</v>
      </c>
      <c r="E294" s="13">
        <v>2006819.08</v>
      </c>
      <c r="F294" s="13">
        <v>518809.46899999998</v>
      </c>
      <c r="G294" s="13">
        <v>1299812.3829999999</v>
      </c>
      <c r="H294" s="13">
        <v>184483.04</v>
      </c>
      <c r="I294" s="13">
        <v>72148.233999999997</v>
      </c>
      <c r="J294" s="13">
        <v>134328.83199999999</v>
      </c>
      <c r="K294" s="13">
        <v>373901.93</v>
      </c>
      <c r="L294" s="13">
        <v>338474.20899999997</v>
      </c>
      <c r="M294" s="13">
        <v>52309.357000000004</v>
      </c>
      <c r="N294" s="13">
        <v>75306.054999999993</v>
      </c>
      <c r="O294" s="13">
        <v>526039.33499999996</v>
      </c>
      <c r="P294" s="13">
        <v>1193.6780000000001</v>
      </c>
      <c r="Q294" s="23"/>
    </row>
    <row r="295" spans="1:17" x14ac:dyDescent="0.25">
      <c r="A295" s="15">
        <v>44834</v>
      </c>
      <c r="B295" s="15">
        <v>44848</v>
      </c>
      <c r="C295" s="15">
        <v>44861</v>
      </c>
      <c r="D295" s="13">
        <f t="shared" si="7"/>
        <v>5619403.1980000008</v>
      </c>
      <c r="E295" s="13">
        <v>2027323.8470000001</v>
      </c>
      <c r="F295" s="13">
        <v>539676.89899999998</v>
      </c>
      <c r="G295" s="13">
        <v>1297126.1189999999</v>
      </c>
      <c r="H295" s="13">
        <v>176483.97500000001</v>
      </c>
      <c r="I295" s="13">
        <v>72068.813999999998</v>
      </c>
      <c r="J295" s="13">
        <v>132950.448</v>
      </c>
      <c r="K295" s="13">
        <v>377415.092</v>
      </c>
      <c r="L295" s="13">
        <v>337879.05099999998</v>
      </c>
      <c r="M295" s="13">
        <v>53178.851999999999</v>
      </c>
      <c r="N295" s="13">
        <v>75317.182000000001</v>
      </c>
      <c r="O295" s="13">
        <v>528917.91700000002</v>
      </c>
      <c r="P295" s="13">
        <v>1065.002</v>
      </c>
      <c r="Q295" s="23"/>
    </row>
    <row r="296" spans="1:17" x14ac:dyDescent="0.25">
      <c r="A296" s="15">
        <v>44848</v>
      </c>
      <c r="B296" s="15">
        <v>44862</v>
      </c>
      <c r="C296" s="15">
        <v>44875</v>
      </c>
      <c r="D296" s="13">
        <f t="shared" si="7"/>
        <v>5686859.5439999998</v>
      </c>
      <c r="E296" s="13">
        <v>2071959.3489999999</v>
      </c>
      <c r="F296" s="13">
        <v>545754.08600000001</v>
      </c>
      <c r="G296" s="13">
        <v>1313989.2660000001</v>
      </c>
      <c r="H296" s="13">
        <v>181971.90599999999</v>
      </c>
      <c r="I296" s="13">
        <v>72675.264999999999</v>
      </c>
      <c r="J296" s="13">
        <v>132764.10200000001</v>
      </c>
      <c r="K296" s="13">
        <v>375400.46899999998</v>
      </c>
      <c r="L296" s="13">
        <v>336815.44300000003</v>
      </c>
      <c r="M296" s="13">
        <v>52515.182000000001</v>
      </c>
      <c r="N296" s="13">
        <v>74895.176000000007</v>
      </c>
      <c r="O296" s="13">
        <v>527082.01300000004</v>
      </c>
      <c r="P296" s="13">
        <v>1037.287</v>
      </c>
      <c r="Q296" s="23"/>
    </row>
    <row r="297" spans="1:17" x14ac:dyDescent="0.25">
      <c r="A297" s="15">
        <v>44862</v>
      </c>
      <c r="B297" s="15">
        <v>44876</v>
      </c>
      <c r="C297" s="15">
        <v>44889</v>
      </c>
      <c r="D297" s="13">
        <f t="shared" si="7"/>
        <v>5701478.879999999</v>
      </c>
      <c r="E297" s="13">
        <v>2088662.547</v>
      </c>
      <c r="F297" s="13">
        <v>537609.14099999995</v>
      </c>
      <c r="G297" s="13">
        <v>1319945.92</v>
      </c>
      <c r="H297" s="13">
        <v>188174.296</v>
      </c>
      <c r="I297" s="13">
        <v>74860.755000000005</v>
      </c>
      <c r="J297" s="13">
        <v>135051.30600000001</v>
      </c>
      <c r="K297" s="13">
        <v>408273.71899999998</v>
      </c>
      <c r="L297" s="13">
        <v>320058.45299999998</v>
      </c>
      <c r="M297" s="13">
        <v>51336.127999999997</v>
      </c>
      <c r="N297" s="13">
        <v>76037.698999999993</v>
      </c>
      <c r="O297" s="13">
        <v>500337.30900000001</v>
      </c>
      <c r="P297" s="13">
        <v>1131.607</v>
      </c>
      <c r="Q297" s="23"/>
    </row>
    <row r="298" spans="1:17" x14ac:dyDescent="0.25">
      <c r="A298" s="15">
        <v>44876</v>
      </c>
      <c r="B298" s="15">
        <v>44890</v>
      </c>
      <c r="C298" s="15">
        <v>44903</v>
      </c>
      <c r="D298" s="13">
        <f t="shared" si="7"/>
        <v>5636602.7359999996</v>
      </c>
      <c r="E298" s="13">
        <v>2093029.791</v>
      </c>
      <c r="F298" s="13">
        <v>532570.27300000004</v>
      </c>
      <c r="G298" s="13">
        <v>1270422.395</v>
      </c>
      <c r="H298" s="13">
        <v>186682.83499999999</v>
      </c>
      <c r="I298" s="13">
        <v>75844.101999999999</v>
      </c>
      <c r="J298" s="13">
        <v>134317.302</v>
      </c>
      <c r="K298" s="13">
        <v>409379.30800000002</v>
      </c>
      <c r="L298" s="13">
        <v>319180.745</v>
      </c>
      <c r="M298" s="13">
        <v>50675.326999999997</v>
      </c>
      <c r="N298" s="13">
        <v>75720.175000000003</v>
      </c>
      <c r="O298" s="13">
        <v>487607.19799999997</v>
      </c>
      <c r="P298" s="13">
        <v>1173.2850000000001</v>
      </c>
      <c r="Q298" s="23"/>
    </row>
    <row r="299" spans="1:17" x14ac:dyDescent="0.25">
      <c r="A299" s="15">
        <v>44890</v>
      </c>
      <c r="B299" s="15">
        <v>44904</v>
      </c>
      <c r="C299" s="15">
        <v>44917</v>
      </c>
      <c r="D299" s="13">
        <f t="shared" si="7"/>
        <v>5597572.9059999986</v>
      </c>
      <c r="E299" s="13">
        <v>2093909.811</v>
      </c>
      <c r="F299" s="13">
        <v>507557.03200000001</v>
      </c>
      <c r="G299" s="13">
        <v>1224652.183</v>
      </c>
      <c r="H299" s="13">
        <v>179192.79500000001</v>
      </c>
      <c r="I299" s="13">
        <v>76059.976999999999</v>
      </c>
      <c r="J299" s="13">
        <v>137634.95300000001</v>
      </c>
      <c r="K299" s="13">
        <v>442889.739</v>
      </c>
      <c r="L299" s="13">
        <v>320761.82799999998</v>
      </c>
      <c r="M299" s="13">
        <v>51752.406999999999</v>
      </c>
      <c r="N299" s="13">
        <v>75883.115000000005</v>
      </c>
      <c r="O299" s="13">
        <v>485500.04599999997</v>
      </c>
      <c r="P299" s="13">
        <v>1779.02</v>
      </c>
      <c r="Q299" s="23"/>
    </row>
    <row r="300" spans="1:17" x14ac:dyDescent="0.25">
      <c r="A300" s="15">
        <v>44904</v>
      </c>
      <c r="B300" s="15">
        <v>44918</v>
      </c>
      <c r="C300" s="15">
        <v>44931</v>
      </c>
      <c r="D300" s="13">
        <f t="shared" si="7"/>
        <v>5550903.2149999999</v>
      </c>
      <c r="E300" s="13">
        <v>2105505.463</v>
      </c>
      <c r="F300" s="13">
        <v>534005.43700000003</v>
      </c>
      <c r="G300" s="13">
        <v>1137128.0330000001</v>
      </c>
      <c r="H300" s="13">
        <v>159267.128</v>
      </c>
      <c r="I300" s="13">
        <v>76714.373000000007</v>
      </c>
      <c r="J300" s="13">
        <v>137611.66399999999</v>
      </c>
      <c r="K300" s="13">
        <v>482034.902</v>
      </c>
      <c r="L300" s="13">
        <v>317499.45400000003</v>
      </c>
      <c r="M300" s="13">
        <v>54076.337</v>
      </c>
      <c r="N300" s="13">
        <v>76219.388000000006</v>
      </c>
      <c r="O300" s="13">
        <v>469216.87300000002</v>
      </c>
      <c r="P300" s="13">
        <v>1624.163</v>
      </c>
      <c r="Q300" s="23"/>
    </row>
    <row r="301" spans="1:17" x14ac:dyDescent="0.25">
      <c r="A301" s="15">
        <v>44918</v>
      </c>
      <c r="B301" s="15">
        <v>44932</v>
      </c>
      <c r="C301" s="15">
        <v>44945</v>
      </c>
      <c r="D301" s="13">
        <f t="shared" si="7"/>
        <v>5496092.5499999998</v>
      </c>
      <c r="E301" s="13">
        <v>2095491.977</v>
      </c>
      <c r="F301" s="13">
        <v>491524.29700000002</v>
      </c>
      <c r="G301" s="13">
        <v>1072347.2290000001</v>
      </c>
      <c r="H301" s="13">
        <v>151862.79399999999</v>
      </c>
      <c r="I301" s="13">
        <v>76792.898000000001</v>
      </c>
      <c r="J301" s="13">
        <v>138040.58499999999</v>
      </c>
      <c r="K301" s="13">
        <v>540862.94299999997</v>
      </c>
      <c r="L301" s="13">
        <v>320990.70199999999</v>
      </c>
      <c r="M301" s="13">
        <v>60598.031999999999</v>
      </c>
      <c r="N301" s="13">
        <v>77558.501999999993</v>
      </c>
      <c r="O301" s="13">
        <v>468036.20899999997</v>
      </c>
      <c r="P301" s="13">
        <v>1986.3820000000001</v>
      </c>
      <c r="Q301" s="23"/>
    </row>
    <row r="302" spans="1:17" x14ac:dyDescent="0.25">
      <c r="A302" s="15">
        <v>44932</v>
      </c>
      <c r="B302" s="15">
        <v>44946</v>
      </c>
      <c r="C302" s="15">
        <v>44959</v>
      </c>
      <c r="D302" s="13">
        <f t="shared" si="7"/>
        <v>5528502.8850000007</v>
      </c>
      <c r="E302" s="13">
        <v>2137351.6889999998</v>
      </c>
      <c r="F302" s="13">
        <v>487581.53700000001</v>
      </c>
      <c r="G302" s="13">
        <v>1068785.56</v>
      </c>
      <c r="H302" s="13">
        <v>144124.73199999999</v>
      </c>
      <c r="I302" s="13">
        <v>76187.165999999997</v>
      </c>
      <c r="J302" s="13">
        <v>137712.39600000001</v>
      </c>
      <c r="K302" s="13">
        <v>559663.79799999995</v>
      </c>
      <c r="L302" s="13">
        <v>319631.42</v>
      </c>
      <c r="M302" s="13">
        <v>61209.538999999997</v>
      </c>
      <c r="N302" s="13">
        <v>67481.417000000001</v>
      </c>
      <c r="O302" s="13">
        <v>467649.087</v>
      </c>
      <c r="P302" s="13">
        <v>1124.5440000000001</v>
      </c>
      <c r="Q302" s="23"/>
    </row>
    <row r="303" spans="1:17" x14ac:dyDescent="0.25">
      <c r="A303" s="15">
        <v>44946</v>
      </c>
      <c r="B303" s="15">
        <v>44960</v>
      </c>
      <c r="C303" s="15">
        <v>44973</v>
      </c>
      <c r="D303" s="13">
        <f t="shared" si="7"/>
        <v>5575799.4890000001</v>
      </c>
      <c r="E303" s="13">
        <v>2193640.0120000001</v>
      </c>
      <c r="F303" s="13">
        <v>490920.25099999999</v>
      </c>
      <c r="G303" s="13">
        <v>1053746.2790000001</v>
      </c>
      <c r="H303" s="13">
        <v>144966.14600000001</v>
      </c>
      <c r="I303" s="13">
        <v>77154.921000000002</v>
      </c>
      <c r="J303" s="13">
        <v>138696.26800000001</v>
      </c>
      <c r="K303" s="13">
        <v>569493.33499999996</v>
      </c>
      <c r="L303" s="13">
        <v>325471.47700000001</v>
      </c>
      <c r="M303" s="13">
        <v>62236.419000000002</v>
      </c>
      <c r="N303" s="13">
        <v>67831.645000000004</v>
      </c>
      <c r="O303" s="13">
        <v>450206.99400000001</v>
      </c>
      <c r="P303" s="13">
        <v>1435.742</v>
      </c>
      <c r="Q303" s="23"/>
    </row>
    <row r="304" spans="1:17" x14ac:dyDescent="0.25">
      <c r="A304" s="15">
        <v>44960</v>
      </c>
      <c r="B304" s="15">
        <v>44974</v>
      </c>
      <c r="C304" s="15">
        <v>44987</v>
      </c>
      <c r="D304" s="13">
        <f t="shared" si="7"/>
        <v>5557641.8459999999</v>
      </c>
      <c r="E304" s="13">
        <v>2229851.4610000001</v>
      </c>
      <c r="F304" s="13">
        <v>505291.54200000002</v>
      </c>
      <c r="G304" s="13">
        <v>998920.1</v>
      </c>
      <c r="H304" s="13">
        <v>134188.476</v>
      </c>
      <c r="I304" s="13">
        <v>75395.748000000007</v>
      </c>
      <c r="J304" s="13">
        <v>138894.606</v>
      </c>
      <c r="K304" s="13">
        <v>569868.69900000002</v>
      </c>
      <c r="L304" s="13">
        <v>329790.16899999999</v>
      </c>
      <c r="M304" s="13">
        <v>61679.364000000001</v>
      </c>
      <c r="N304" s="13">
        <v>76888.323999999993</v>
      </c>
      <c r="O304" s="13">
        <v>435450.842</v>
      </c>
      <c r="P304" s="13">
        <v>1422.5150000000001</v>
      </c>
      <c r="Q304" s="23"/>
    </row>
    <row r="305" spans="1:17" x14ac:dyDescent="0.25">
      <c r="A305" s="15">
        <v>44974</v>
      </c>
      <c r="B305" s="15">
        <v>44988</v>
      </c>
      <c r="C305" s="15">
        <v>45001</v>
      </c>
      <c r="D305" s="13">
        <f t="shared" si="7"/>
        <v>5424908.6770000001</v>
      </c>
      <c r="E305" s="13">
        <v>2206023.35</v>
      </c>
      <c r="F305" s="13">
        <v>499210.75699999998</v>
      </c>
      <c r="G305" s="13">
        <v>945062.15</v>
      </c>
      <c r="H305" s="13">
        <v>121512.876</v>
      </c>
      <c r="I305" s="13">
        <v>72336.737999999998</v>
      </c>
      <c r="J305" s="13">
        <v>133789.625</v>
      </c>
      <c r="K305" s="13">
        <v>541826.87800000003</v>
      </c>
      <c r="L305" s="13">
        <v>328049.12800000003</v>
      </c>
      <c r="M305" s="13">
        <v>65330.728000000003</v>
      </c>
      <c r="N305" s="13">
        <v>77475.907000000007</v>
      </c>
      <c r="O305" s="13">
        <v>432737.94699999999</v>
      </c>
      <c r="P305" s="13">
        <v>1552.5930000000001</v>
      </c>
      <c r="Q305" s="23"/>
    </row>
    <row r="306" spans="1:17" x14ac:dyDescent="0.25">
      <c r="A306" s="15">
        <v>44988</v>
      </c>
      <c r="B306" s="15">
        <v>45002</v>
      </c>
      <c r="C306" s="15">
        <v>45015</v>
      </c>
      <c r="D306" s="13">
        <f t="shared" si="7"/>
        <v>5376047.6849999996</v>
      </c>
      <c r="E306" s="13">
        <v>2208421.1860000002</v>
      </c>
      <c r="F306" s="13">
        <v>471333.16600000003</v>
      </c>
      <c r="G306" s="13">
        <v>900655.97100000002</v>
      </c>
      <c r="H306" s="13">
        <v>112452.91499999999</v>
      </c>
      <c r="I306" s="13">
        <v>70955.622000000003</v>
      </c>
      <c r="J306" s="13">
        <v>132488.182</v>
      </c>
      <c r="K306" s="13">
        <v>543704.81599999999</v>
      </c>
      <c r="L306" s="13">
        <v>335937.87400000001</v>
      </c>
      <c r="M306" s="13">
        <v>65076.084000000003</v>
      </c>
      <c r="N306" s="13">
        <v>91635.005000000005</v>
      </c>
      <c r="O306" s="13">
        <v>441729.96</v>
      </c>
      <c r="P306" s="13">
        <v>1656.904</v>
      </c>
      <c r="Q306" s="23"/>
    </row>
    <row r="307" spans="1:17" x14ac:dyDescent="0.25">
      <c r="A307" s="15">
        <v>45002</v>
      </c>
      <c r="B307" s="15">
        <v>45016</v>
      </c>
      <c r="C307" s="15">
        <v>45029</v>
      </c>
      <c r="D307" s="13">
        <f t="shared" si="7"/>
        <v>5391193.5410000011</v>
      </c>
      <c r="E307" s="13">
        <v>2269735.648</v>
      </c>
      <c r="F307" s="13">
        <v>476028.02100000001</v>
      </c>
      <c r="G307" s="13">
        <v>870740.16299999994</v>
      </c>
      <c r="H307" s="13">
        <v>110488.836</v>
      </c>
      <c r="I307" s="13">
        <v>71397.784</v>
      </c>
      <c r="J307" s="13">
        <v>132054.03</v>
      </c>
      <c r="K307" s="13">
        <v>542996.45700000005</v>
      </c>
      <c r="L307" s="13">
        <v>339508.40600000002</v>
      </c>
      <c r="M307" s="13">
        <v>65406.500999999997</v>
      </c>
      <c r="N307" s="13">
        <v>98471.751999999993</v>
      </c>
      <c r="O307" s="13">
        <v>412572.86900000001</v>
      </c>
      <c r="P307" s="13">
        <v>1793.0740000000001</v>
      </c>
      <c r="Q307" s="23"/>
    </row>
    <row r="308" spans="1:17" x14ac:dyDescent="0.25">
      <c r="A308" s="15">
        <v>45016</v>
      </c>
      <c r="B308" s="15">
        <v>45030</v>
      </c>
      <c r="C308" s="15">
        <v>45043</v>
      </c>
      <c r="D308" s="13">
        <f t="shared" si="7"/>
        <v>5414095.2280000011</v>
      </c>
      <c r="E308" s="13">
        <v>2296751.7510000002</v>
      </c>
      <c r="F308" s="13">
        <v>464908.37900000002</v>
      </c>
      <c r="G308" s="13">
        <v>860747.75899999996</v>
      </c>
      <c r="H308" s="13">
        <v>102300.842</v>
      </c>
      <c r="I308" s="13">
        <v>73200.425000000003</v>
      </c>
      <c r="J308" s="13">
        <v>134498.24799999999</v>
      </c>
      <c r="K308" s="13">
        <v>552829.777</v>
      </c>
      <c r="L308" s="13">
        <v>342293.13699999999</v>
      </c>
      <c r="M308" s="13">
        <v>67023.986000000004</v>
      </c>
      <c r="N308" s="13">
        <v>87327.535999999993</v>
      </c>
      <c r="O308" s="13">
        <v>429686.51400000002</v>
      </c>
      <c r="P308" s="13">
        <v>2526.8739999999998</v>
      </c>
      <c r="Q308" s="23"/>
    </row>
    <row r="309" spans="1:17" x14ac:dyDescent="0.25">
      <c r="A309" s="15">
        <v>45030</v>
      </c>
      <c r="B309" s="15">
        <v>45044</v>
      </c>
      <c r="C309" s="15">
        <v>45057</v>
      </c>
      <c r="D309" s="13">
        <f t="shared" si="7"/>
        <v>5552660.8599999994</v>
      </c>
      <c r="E309" s="13">
        <v>2415596.7599999998</v>
      </c>
      <c r="F309" s="13">
        <v>455120.92200000002</v>
      </c>
      <c r="G309" s="13">
        <v>860617.58700000006</v>
      </c>
      <c r="H309" s="13">
        <v>98738.660999999993</v>
      </c>
      <c r="I309" s="13">
        <v>73076.993000000002</v>
      </c>
      <c r="J309" s="13">
        <v>133830.95699999999</v>
      </c>
      <c r="K309" s="13">
        <v>576345.34600000002</v>
      </c>
      <c r="L309" s="13">
        <v>351088.94799999997</v>
      </c>
      <c r="M309" s="13">
        <v>63888.498</v>
      </c>
      <c r="N309" s="13">
        <v>89559.273000000001</v>
      </c>
      <c r="O309" s="13">
        <v>432599.05900000001</v>
      </c>
      <c r="P309" s="13">
        <v>2197.8560000000002</v>
      </c>
      <c r="Q309" s="23"/>
    </row>
    <row r="310" spans="1:17" s="50" customFormat="1" x14ac:dyDescent="0.25">
      <c r="A310" s="15">
        <v>45044</v>
      </c>
      <c r="B310" s="15">
        <v>45058</v>
      </c>
      <c r="C310" s="15">
        <v>45071</v>
      </c>
      <c r="D310" s="13">
        <f t="shared" si="7"/>
        <v>5577109.6159999995</v>
      </c>
      <c r="E310" s="13">
        <v>2449859.9</v>
      </c>
      <c r="F310" s="13">
        <v>447877.29700000002</v>
      </c>
      <c r="G310" s="13">
        <v>845849.43099999998</v>
      </c>
      <c r="H310" s="13">
        <v>94003.892999999996</v>
      </c>
      <c r="I310" s="13">
        <v>70444.195000000007</v>
      </c>
      <c r="J310" s="13">
        <v>131405.19399999999</v>
      </c>
      <c r="K310" s="13">
        <v>587587.73199999996</v>
      </c>
      <c r="L310" s="13">
        <v>362908.97</v>
      </c>
      <c r="M310" s="13">
        <v>61779.212</v>
      </c>
      <c r="N310" s="13">
        <v>90115.137000000002</v>
      </c>
      <c r="O310" s="13">
        <v>433847.11700000003</v>
      </c>
      <c r="P310" s="13">
        <v>1431.538</v>
      </c>
      <c r="Q310" s="23"/>
    </row>
    <row r="311" spans="1:17" s="50" customFormat="1" x14ac:dyDescent="0.25">
      <c r="A311" s="15">
        <v>45058</v>
      </c>
      <c r="B311" s="15">
        <v>45072</v>
      </c>
      <c r="C311" s="15">
        <v>45085</v>
      </c>
      <c r="D311" s="13">
        <f t="shared" ref="D311:D328" si="8">SUM(E311:P311)</f>
        <v>5602523.648000001</v>
      </c>
      <c r="E311" s="13">
        <v>2495720.409</v>
      </c>
      <c r="F311" s="13">
        <v>430398.24699999997</v>
      </c>
      <c r="G311" s="13">
        <v>824160.93599999999</v>
      </c>
      <c r="H311" s="13">
        <v>93708.695999999996</v>
      </c>
      <c r="I311" s="13">
        <v>69186.191999999995</v>
      </c>
      <c r="J311" s="13">
        <v>131936.454</v>
      </c>
      <c r="K311" s="13">
        <v>594405.68999999994</v>
      </c>
      <c r="L311" s="13">
        <v>366990.43199999997</v>
      </c>
      <c r="M311" s="13">
        <v>58215.415000000001</v>
      </c>
      <c r="N311" s="13">
        <v>94514.097999999998</v>
      </c>
      <c r="O311" s="13">
        <v>441373.49099999998</v>
      </c>
      <c r="P311" s="13">
        <v>1913.588</v>
      </c>
      <c r="Q311" s="23"/>
    </row>
    <row r="312" spans="1:17" s="50" customFormat="1" x14ac:dyDescent="0.25">
      <c r="A312" s="15">
        <v>45072</v>
      </c>
      <c r="B312" s="15">
        <v>45086</v>
      </c>
      <c r="C312" s="15">
        <v>45099</v>
      </c>
      <c r="D312" s="13">
        <f t="shared" si="8"/>
        <v>5506769.0030000005</v>
      </c>
      <c r="E312" s="13">
        <v>2426502.7620000001</v>
      </c>
      <c r="F312" s="13">
        <v>402622.299</v>
      </c>
      <c r="G312" s="13">
        <v>794294.65</v>
      </c>
      <c r="H312" s="13">
        <v>93327.971000000005</v>
      </c>
      <c r="I312" s="13">
        <v>66659.471999999994</v>
      </c>
      <c r="J312" s="13">
        <v>132020.46799999999</v>
      </c>
      <c r="K312" s="13">
        <v>605745.36100000003</v>
      </c>
      <c r="L312" s="13">
        <v>369864.87099999998</v>
      </c>
      <c r="M312" s="13">
        <v>58543.807999999997</v>
      </c>
      <c r="N312" s="13">
        <v>100189.22900000001</v>
      </c>
      <c r="O312" s="13">
        <v>455153.46899999998</v>
      </c>
      <c r="P312" s="13">
        <v>1844.643</v>
      </c>
      <c r="Q312" s="23"/>
    </row>
    <row r="313" spans="1:17" s="50" customFormat="1" x14ac:dyDescent="0.25">
      <c r="A313" s="15">
        <v>45086</v>
      </c>
      <c r="B313" s="15">
        <v>45100</v>
      </c>
      <c r="C313" s="15">
        <v>45113</v>
      </c>
      <c r="D313" s="13">
        <f t="shared" si="8"/>
        <v>6373303.3149999985</v>
      </c>
      <c r="E313" s="13">
        <v>2795885.1889999998</v>
      </c>
      <c r="F313" s="13">
        <v>461615.42300000001</v>
      </c>
      <c r="G313" s="13">
        <v>938437.80200000003</v>
      </c>
      <c r="H313" s="13">
        <v>108969.254</v>
      </c>
      <c r="I313" s="13">
        <v>76077.554000000004</v>
      </c>
      <c r="J313" s="13">
        <v>153448.951</v>
      </c>
      <c r="K313" s="13">
        <v>706679.75300000003</v>
      </c>
      <c r="L313" s="13">
        <v>412644.91800000001</v>
      </c>
      <c r="M313" s="13">
        <v>68714.793999999994</v>
      </c>
      <c r="N313" s="13">
        <v>115599.825</v>
      </c>
      <c r="O313" s="13">
        <v>533088.26300000004</v>
      </c>
      <c r="P313" s="13">
        <v>2141.5889999999999</v>
      </c>
      <c r="Q313" s="23"/>
    </row>
    <row r="314" spans="1:17" s="50" customFormat="1" x14ac:dyDescent="0.25">
      <c r="A314" s="15">
        <v>45100</v>
      </c>
      <c r="B314" s="15">
        <v>45114</v>
      </c>
      <c r="C314" s="15">
        <v>45127</v>
      </c>
      <c r="D314" s="13">
        <f t="shared" si="8"/>
        <v>6412658.6959999995</v>
      </c>
      <c r="E314" s="13">
        <v>2765079.145</v>
      </c>
      <c r="F314" s="13">
        <v>449483.57</v>
      </c>
      <c r="G314" s="13">
        <v>956278.40599999996</v>
      </c>
      <c r="H314" s="13">
        <v>113691.87300000001</v>
      </c>
      <c r="I314" s="13">
        <v>76996.684999999998</v>
      </c>
      <c r="J314" s="13">
        <v>157484.71900000051</v>
      </c>
      <c r="K314" s="13">
        <v>724912.26699999999</v>
      </c>
      <c r="L314" s="13">
        <v>441084.54599999997</v>
      </c>
      <c r="M314" s="13">
        <v>73583.198999999993</v>
      </c>
      <c r="N314" s="13">
        <v>115681.549</v>
      </c>
      <c r="O314" s="13">
        <v>535775.33299999998</v>
      </c>
      <c r="P314" s="13">
        <v>2607.404</v>
      </c>
      <c r="Q314" s="23"/>
    </row>
    <row r="315" spans="1:17" s="50" customFormat="1" x14ac:dyDescent="0.25">
      <c r="A315" s="15">
        <v>45114</v>
      </c>
      <c r="B315" s="15">
        <v>45128</v>
      </c>
      <c r="C315" s="15">
        <v>45141</v>
      </c>
      <c r="D315" s="13">
        <f t="shared" si="8"/>
        <v>7064689.7759999996</v>
      </c>
      <c r="E315" s="13">
        <v>3047112.801</v>
      </c>
      <c r="F315" s="13">
        <v>507967.31699999998</v>
      </c>
      <c r="G315" s="13">
        <v>1018808.43</v>
      </c>
      <c r="H315" s="13">
        <v>124081.31200000001</v>
      </c>
      <c r="I315" s="13">
        <v>82391.297999999995</v>
      </c>
      <c r="J315" s="13">
        <v>171377.64799999999</v>
      </c>
      <c r="K315" s="13">
        <v>822247.56599999999</v>
      </c>
      <c r="L315" s="13">
        <v>490096.16100000002</v>
      </c>
      <c r="M315" s="13">
        <v>77529.676999999996</v>
      </c>
      <c r="N315" s="13">
        <v>128177.30499999999</v>
      </c>
      <c r="O315" s="13">
        <v>593041.79</v>
      </c>
      <c r="P315" s="13">
        <v>1858.471</v>
      </c>
      <c r="Q315" s="23"/>
    </row>
    <row r="316" spans="1:17" s="50" customFormat="1" x14ac:dyDescent="0.25">
      <c r="A316" s="15">
        <v>45128</v>
      </c>
      <c r="B316" s="15">
        <v>45142</v>
      </c>
      <c r="C316" s="15">
        <v>45155</v>
      </c>
      <c r="D316" s="13">
        <f t="shared" si="8"/>
        <v>7414688.0599999996</v>
      </c>
      <c r="E316" s="13">
        <v>3229459.2919999999</v>
      </c>
      <c r="F316" s="13">
        <v>556941.15399999998</v>
      </c>
      <c r="G316" s="13">
        <v>1033331.843</v>
      </c>
      <c r="H316" s="13">
        <v>129866.727</v>
      </c>
      <c r="I316" s="13">
        <v>87152.017999999996</v>
      </c>
      <c r="J316" s="13">
        <v>177535.37400000001</v>
      </c>
      <c r="K316" s="13">
        <v>851073.91799999995</v>
      </c>
      <c r="L316" s="13">
        <v>520489.984</v>
      </c>
      <c r="M316" s="13">
        <v>81127.414999999994</v>
      </c>
      <c r="N316" s="13">
        <v>133243.09299999999</v>
      </c>
      <c r="O316" s="13">
        <v>612441.78200000001</v>
      </c>
      <c r="P316" s="13">
        <v>2025.46</v>
      </c>
      <c r="Q316" s="23"/>
    </row>
    <row r="317" spans="1:17" s="50" customFormat="1" x14ac:dyDescent="0.25">
      <c r="A317" s="15">
        <v>45142</v>
      </c>
      <c r="B317" s="15">
        <v>45156</v>
      </c>
      <c r="C317" s="15">
        <v>45169</v>
      </c>
      <c r="D317" s="13">
        <f t="shared" si="8"/>
        <v>7351600.9760000007</v>
      </c>
      <c r="E317" s="13">
        <v>3202512.773</v>
      </c>
      <c r="F317" s="13">
        <v>548559.19999999995</v>
      </c>
      <c r="G317" s="13">
        <v>1025862.278</v>
      </c>
      <c r="H317" s="13">
        <v>124144.496</v>
      </c>
      <c r="I317" s="13">
        <v>87062.145000000004</v>
      </c>
      <c r="J317" s="13">
        <v>171391.42</v>
      </c>
      <c r="K317" s="13">
        <v>842411.60600000003</v>
      </c>
      <c r="L317" s="13">
        <v>517180.26299999998</v>
      </c>
      <c r="M317" s="13">
        <v>79816.36</v>
      </c>
      <c r="N317" s="13">
        <v>133417.348</v>
      </c>
      <c r="O317" s="13">
        <v>617237.34400000004</v>
      </c>
      <c r="P317" s="13">
        <v>2005.7429999999999</v>
      </c>
      <c r="Q317" s="23"/>
    </row>
    <row r="318" spans="1:17" s="50" customFormat="1" x14ac:dyDescent="0.25">
      <c r="A318" s="15">
        <v>45156</v>
      </c>
      <c r="B318" s="15">
        <v>45170</v>
      </c>
      <c r="C318" s="15">
        <v>45183</v>
      </c>
      <c r="D318" s="13">
        <f t="shared" si="8"/>
        <v>7479334.0370000014</v>
      </c>
      <c r="E318" s="13">
        <v>3246801.6690000002</v>
      </c>
      <c r="F318" s="13">
        <v>583734.29</v>
      </c>
      <c r="G318" s="13">
        <v>1032391.007</v>
      </c>
      <c r="H318" s="13">
        <v>133537.30100000001</v>
      </c>
      <c r="I318" s="13">
        <v>87039.074999999997</v>
      </c>
      <c r="J318" s="13">
        <v>167514.00599999999</v>
      </c>
      <c r="K318" s="13">
        <v>842795</v>
      </c>
      <c r="L318" s="13">
        <v>538015.79099999997</v>
      </c>
      <c r="M318" s="13">
        <v>85336.226999999999</v>
      </c>
      <c r="N318" s="13">
        <v>134446.405</v>
      </c>
      <c r="O318" s="13">
        <v>626016.89500000002</v>
      </c>
      <c r="P318" s="13">
        <v>1706.3710000000001</v>
      </c>
      <c r="Q318" s="23"/>
    </row>
    <row r="319" spans="1:17" s="50" customFormat="1" x14ac:dyDescent="0.25">
      <c r="A319" s="15">
        <v>45170</v>
      </c>
      <c r="B319" s="15">
        <v>45184</v>
      </c>
      <c r="C319" s="15">
        <v>45197</v>
      </c>
      <c r="D319" s="13">
        <f t="shared" si="8"/>
        <v>7541755.6839999994</v>
      </c>
      <c r="E319" s="13">
        <v>3299309.273</v>
      </c>
      <c r="F319" s="13">
        <v>539702.60400000005</v>
      </c>
      <c r="G319" s="13">
        <v>1084771.804</v>
      </c>
      <c r="H319" s="13">
        <v>137300.492</v>
      </c>
      <c r="I319" s="13">
        <v>86602.392000000007</v>
      </c>
      <c r="J319" s="13">
        <v>163480.03</v>
      </c>
      <c r="K319" s="13">
        <v>842436.26599999995</v>
      </c>
      <c r="L319" s="13">
        <v>547487.804</v>
      </c>
      <c r="M319" s="13">
        <v>84145.410999999993</v>
      </c>
      <c r="N319" s="13">
        <v>132324.353</v>
      </c>
      <c r="O319" s="13">
        <v>622542.39800000004</v>
      </c>
      <c r="P319" s="13">
        <v>1652.857</v>
      </c>
      <c r="Q319" s="23"/>
    </row>
    <row r="320" spans="1:17" s="50" customFormat="1" x14ac:dyDescent="0.25">
      <c r="A320" s="15">
        <v>45184</v>
      </c>
      <c r="B320" s="15">
        <v>45198</v>
      </c>
      <c r="C320" s="15">
        <v>45211</v>
      </c>
      <c r="D320" s="13">
        <f t="shared" si="8"/>
        <v>7576380.9959999984</v>
      </c>
      <c r="E320" s="13">
        <v>3284478.0669999998</v>
      </c>
      <c r="F320" s="13">
        <v>530611.55900000001</v>
      </c>
      <c r="G320" s="13">
        <v>1091254.3119999999</v>
      </c>
      <c r="H320" s="13">
        <v>137151.34099999999</v>
      </c>
      <c r="I320" s="13">
        <v>86380.009000000005</v>
      </c>
      <c r="J320" s="13">
        <v>161535.81700000001</v>
      </c>
      <c r="K320" s="13">
        <v>838115.522</v>
      </c>
      <c r="L320" s="13">
        <v>573228.92500000005</v>
      </c>
      <c r="M320" s="13">
        <v>84750.159</v>
      </c>
      <c r="N320" s="13">
        <v>131258.52600000001</v>
      </c>
      <c r="O320" s="13">
        <v>654789.12100000004</v>
      </c>
      <c r="P320" s="13">
        <v>2827.6379999999999</v>
      </c>
      <c r="Q320" s="23"/>
    </row>
    <row r="321" spans="1:17" s="50" customFormat="1" x14ac:dyDescent="0.25">
      <c r="A321" s="15">
        <v>45198</v>
      </c>
      <c r="B321" s="15">
        <v>45212</v>
      </c>
      <c r="C321" s="15">
        <v>45225</v>
      </c>
      <c r="D321" s="13">
        <f t="shared" si="8"/>
        <v>7562950.1310000001</v>
      </c>
      <c r="E321" s="13">
        <v>3224366.7069999999</v>
      </c>
      <c r="F321" s="13">
        <v>528133.94799999997</v>
      </c>
      <c r="G321" s="13">
        <v>1090501.7849999999</v>
      </c>
      <c r="H321" s="13">
        <v>138894.48800000001</v>
      </c>
      <c r="I321" s="13">
        <v>85955.054000000004</v>
      </c>
      <c r="J321" s="13">
        <v>157837.68700000001</v>
      </c>
      <c r="K321" s="13">
        <v>825341.978</v>
      </c>
      <c r="L321" s="13">
        <v>608372.70700000005</v>
      </c>
      <c r="M321" s="13">
        <v>85411.876000000004</v>
      </c>
      <c r="N321" s="13">
        <v>133644.451</v>
      </c>
      <c r="O321" s="13">
        <v>681691.78599999996</v>
      </c>
      <c r="P321" s="13">
        <v>2797.6640000000002</v>
      </c>
      <c r="Q321" s="23"/>
    </row>
    <row r="322" spans="1:17" s="50" customFormat="1" x14ac:dyDescent="0.25">
      <c r="A322" s="15">
        <v>45212</v>
      </c>
      <c r="B322" s="15">
        <v>45226</v>
      </c>
      <c r="C322" s="15">
        <v>45239</v>
      </c>
      <c r="D322" s="13">
        <f t="shared" si="8"/>
        <v>7755279.6040000003</v>
      </c>
      <c r="E322" s="13">
        <v>3325139.8330000001</v>
      </c>
      <c r="F322" s="13">
        <v>523171.571</v>
      </c>
      <c r="G322" s="13">
        <v>1111157.7</v>
      </c>
      <c r="H322" s="13">
        <v>142830.717</v>
      </c>
      <c r="I322" s="13">
        <v>89096.142000000007</v>
      </c>
      <c r="J322" s="13">
        <v>156429.00599999999</v>
      </c>
      <c r="K322" s="13">
        <v>860120.26699999999</v>
      </c>
      <c r="L322" s="13">
        <v>625730.74300000002</v>
      </c>
      <c r="M322" s="13">
        <v>86830.648000000001</v>
      </c>
      <c r="N322" s="13">
        <v>140094.16800000001</v>
      </c>
      <c r="O322" s="13">
        <v>691796.26800000004</v>
      </c>
      <c r="P322" s="13">
        <v>2882.5410000000002</v>
      </c>
      <c r="Q322" s="23"/>
    </row>
    <row r="323" spans="1:17" s="50" customFormat="1" x14ac:dyDescent="0.25">
      <c r="A323" s="15">
        <v>45226</v>
      </c>
      <c r="B323" s="15">
        <v>45240</v>
      </c>
      <c r="C323" s="15">
        <v>45253</v>
      </c>
      <c r="D323" s="13">
        <f t="shared" si="8"/>
        <v>7910017.0300000012</v>
      </c>
      <c r="E323" s="13">
        <v>3376334.6830000002</v>
      </c>
      <c r="F323" s="13">
        <v>527606.88300000003</v>
      </c>
      <c r="G323" s="13">
        <v>1164018.4310000001</v>
      </c>
      <c r="H323" s="13">
        <v>142925.22899999999</v>
      </c>
      <c r="I323" s="13">
        <v>89601.351999999999</v>
      </c>
      <c r="J323" s="13">
        <v>156416.22399999999</v>
      </c>
      <c r="K323" s="13">
        <v>875809.8</v>
      </c>
      <c r="L323" s="13">
        <v>641101.65099999995</v>
      </c>
      <c r="M323" s="13">
        <v>87697.428</v>
      </c>
      <c r="N323" s="13">
        <v>143046.91899999999</v>
      </c>
      <c r="O323" s="13">
        <v>702534.14500000002</v>
      </c>
      <c r="P323" s="13">
        <v>2924.2849999999999</v>
      </c>
      <c r="Q323" s="23"/>
    </row>
    <row r="324" spans="1:17" s="50" customFormat="1" x14ac:dyDescent="0.25">
      <c r="A324" s="15">
        <v>45240</v>
      </c>
      <c r="B324" s="15">
        <v>45254</v>
      </c>
      <c r="C324" s="15">
        <v>45267</v>
      </c>
      <c r="D324" s="13">
        <f t="shared" si="8"/>
        <v>8076681.0309999995</v>
      </c>
      <c r="E324" s="13">
        <v>3400726.923</v>
      </c>
      <c r="F324" s="13">
        <v>533429.81200000003</v>
      </c>
      <c r="G324" s="13">
        <v>1200606.5889999999</v>
      </c>
      <c r="H324" s="13">
        <v>142028.52100000001</v>
      </c>
      <c r="I324" s="13">
        <v>95285.339000000007</v>
      </c>
      <c r="J324" s="13">
        <v>158320.79500000001</v>
      </c>
      <c r="K324" s="13">
        <v>902818.201</v>
      </c>
      <c r="L324" s="13">
        <v>673307.28599999996</v>
      </c>
      <c r="M324" s="13">
        <v>89752.926999999996</v>
      </c>
      <c r="N324" s="13">
        <v>157092.04399999999</v>
      </c>
      <c r="O324" s="13">
        <v>720511.86699999997</v>
      </c>
      <c r="P324" s="13">
        <v>2800.7269999999999</v>
      </c>
      <c r="Q324" s="23"/>
    </row>
    <row r="325" spans="1:17" s="50" customFormat="1" x14ac:dyDescent="0.25">
      <c r="A325" s="15">
        <v>45254</v>
      </c>
      <c r="B325" s="15">
        <v>45268</v>
      </c>
      <c r="C325" s="15">
        <v>45281</v>
      </c>
      <c r="D325" s="13">
        <f t="shared" si="8"/>
        <v>8210729.0530000003</v>
      </c>
      <c r="E325" s="13">
        <v>3429881.4670000002</v>
      </c>
      <c r="F325" s="13">
        <v>524985.68999999994</v>
      </c>
      <c r="G325" s="13">
        <v>1229140.9280000001</v>
      </c>
      <c r="H325" s="13">
        <v>129562.64200000001</v>
      </c>
      <c r="I325" s="13">
        <v>98613.922999999995</v>
      </c>
      <c r="J325" s="13">
        <v>161239.27299999999</v>
      </c>
      <c r="K325" s="13">
        <v>940228.49800000002</v>
      </c>
      <c r="L325" s="13">
        <v>698131.09</v>
      </c>
      <c r="M325" s="13">
        <v>102229.323</v>
      </c>
      <c r="N325" s="13">
        <v>160014.96799999999</v>
      </c>
      <c r="O325" s="13">
        <v>733807.77899999998</v>
      </c>
      <c r="P325" s="13">
        <v>2893.4720000000002</v>
      </c>
      <c r="Q325" s="23"/>
    </row>
    <row r="326" spans="1:17" s="50" customFormat="1" x14ac:dyDescent="0.25">
      <c r="A326" s="15">
        <v>45268</v>
      </c>
      <c r="B326" s="15">
        <v>45282</v>
      </c>
      <c r="C326" s="15">
        <v>45295</v>
      </c>
      <c r="D326" s="13">
        <f t="shared" si="8"/>
        <v>8229660.0300000003</v>
      </c>
      <c r="E326" s="13">
        <v>3401406.7170000002</v>
      </c>
      <c r="F326" s="13">
        <v>549264.14800000004</v>
      </c>
      <c r="G326" s="13">
        <v>1222743.4169999999</v>
      </c>
      <c r="H326" s="13">
        <v>127949.34600000001</v>
      </c>
      <c r="I326" s="13">
        <v>100889.609</v>
      </c>
      <c r="J326" s="13">
        <v>161031.826</v>
      </c>
      <c r="K326" s="13">
        <v>951273.701</v>
      </c>
      <c r="L326" s="13">
        <v>715058.79200000002</v>
      </c>
      <c r="M326" s="13">
        <v>107981.89599999999</v>
      </c>
      <c r="N326" s="13">
        <v>152941.83100000001</v>
      </c>
      <c r="O326" s="13">
        <v>736872.41299999994</v>
      </c>
      <c r="P326" s="13">
        <v>2246.3339999999998</v>
      </c>
      <c r="Q326" s="23"/>
    </row>
    <row r="327" spans="1:17" s="50" customFormat="1" x14ac:dyDescent="0.25">
      <c r="A327" s="15">
        <v>45282</v>
      </c>
      <c r="B327" s="15">
        <v>45296</v>
      </c>
      <c r="C327" s="15">
        <v>45309</v>
      </c>
      <c r="D327" s="13">
        <f t="shared" si="8"/>
        <v>8420982.3020000011</v>
      </c>
      <c r="E327" s="13">
        <v>3489690.872</v>
      </c>
      <c r="F327" s="13">
        <v>561508.96100000001</v>
      </c>
      <c r="G327" s="13">
        <v>1234336.443</v>
      </c>
      <c r="H327" s="13">
        <v>131997.39300000001</v>
      </c>
      <c r="I327" s="13">
        <v>105024.655</v>
      </c>
      <c r="J327" s="13">
        <v>165047.94099999999</v>
      </c>
      <c r="K327" s="13">
        <v>950268.375</v>
      </c>
      <c r="L327" s="13">
        <v>798460.15</v>
      </c>
      <c r="M327" s="13">
        <v>110077.561</v>
      </c>
      <c r="N327" s="13">
        <v>157900.59099999999</v>
      </c>
      <c r="O327" s="13">
        <v>714031.3</v>
      </c>
      <c r="P327" s="13">
        <v>2638.06</v>
      </c>
      <c r="Q327" s="23"/>
    </row>
    <row r="328" spans="1:17" s="50" customFormat="1" x14ac:dyDescent="0.25">
      <c r="A328" s="15">
        <v>45296</v>
      </c>
      <c r="B328" s="15">
        <v>45310</v>
      </c>
      <c r="C328" s="15">
        <v>45323</v>
      </c>
      <c r="D328" s="13">
        <f t="shared" si="8"/>
        <v>8582072.7400000002</v>
      </c>
      <c r="E328" s="13">
        <v>3540524.09</v>
      </c>
      <c r="F328" s="13">
        <v>565569.52599999995</v>
      </c>
      <c r="G328" s="13">
        <v>1267907.8149999999</v>
      </c>
      <c r="H328" s="13">
        <v>139512.06</v>
      </c>
      <c r="I328" s="13">
        <v>108381.644</v>
      </c>
      <c r="J328" s="13">
        <v>168524.959</v>
      </c>
      <c r="K328" s="13">
        <v>958589.50100000005</v>
      </c>
      <c r="L328" s="13">
        <v>813578.38199999998</v>
      </c>
      <c r="M328" s="13">
        <v>114488.98699999999</v>
      </c>
      <c r="N328" s="13">
        <v>173662.45600000001</v>
      </c>
      <c r="O328" s="13">
        <v>728105.66399999999</v>
      </c>
      <c r="P328" s="13">
        <v>3227.6559999999999</v>
      </c>
      <c r="Q328" s="23"/>
    </row>
    <row r="329" spans="1:17" s="50" customFormat="1" x14ac:dyDescent="0.25">
      <c r="A329" s="15">
        <v>45310</v>
      </c>
      <c r="B329" s="15">
        <v>45324</v>
      </c>
      <c r="C329" s="15">
        <v>45337</v>
      </c>
      <c r="D329" s="13">
        <f t="shared" ref="D329:D339" si="9">SUM(E329:P329)</f>
        <v>8736957.9739999995</v>
      </c>
      <c r="E329" s="13">
        <v>3619919.4730000002</v>
      </c>
      <c r="F329" s="13">
        <v>568924.478</v>
      </c>
      <c r="G329" s="13">
        <v>1296582.4909999999</v>
      </c>
      <c r="H329" s="13">
        <v>147536.755</v>
      </c>
      <c r="I329" s="13">
        <v>107622.917</v>
      </c>
      <c r="J329" s="13">
        <v>168605.302</v>
      </c>
      <c r="K329" s="13">
        <v>955853.62699999998</v>
      </c>
      <c r="L329" s="13">
        <v>827826.96</v>
      </c>
      <c r="M329" s="13">
        <v>115367.13400000001</v>
      </c>
      <c r="N329" s="13">
        <v>175651.283</v>
      </c>
      <c r="O329" s="13">
        <v>749728.79500000004</v>
      </c>
      <c r="P329" s="13">
        <v>3338.759</v>
      </c>
      <c r="Q329" s="23"/>
    </row>
    <row r="330" spans="1:17" s="50" customFormat="1" x14ac:dyDescent="0.25">
      <c r="A330" s="15">
        <v>45324</v>
      </c>
      <c r="B330" s="15">
        <v>45338</v>
      </c>
      <c r="C330" s="15">
        <v>45351</v>
      </c>
      <c r="D330" s="13">
        <f t="shared" si="9"/>
        <v>8816970.6739999987</v>
      </c>
      <c r="E330" s="13">
        <v>3674762.8050000002</v>
      </c>
      <c r="F330" s="13">
        <v>544823.06200000003</v>
      </c>
      <c r="G330" s="13">
        <v>1305234.0330000001</v>
      </c>
      <c r="H330" s="13">
        <v>153923.79500000001</v>
      </c>
      <c r="I330" s="13">
        <v>105900.764</v>
      </c>
      <c r="J330" s="13">
        <v>168696.33799999999</v>
      </c>
      <c r="K330" s="13">
        <v>970675.31499999994</v>
      </c>
      <c r="L330" s="13">
        <v>840528.42700000003</v>
      </c>
      <c r="M330" s="13">
        <v>116120.537</v>
      </c>
      <c r="N330" s="13">
        <v>176466.62899999999</v>
      </c>
      <c r="O330" s="13">
        <v>756925.76500000001</v>
      </c>
      <c r="P330" s="13">
        <v>2913.2040000000002</v>
      </c>
      <c r="Q330" s="23"/>
    </row>
    <row r="331" spans="1:17" s="50" customFormat="1" x14ac:dyDescent="0.25">
      <c r="A331" s="15">
        <v>45338</v>
      </c>
      <c r="B331" s="15">
        <v>45352</v>
      </c>
      <c r="C331" s="15">
        <v>45365</v>
      </c>
      <c r="D331" s="13">
        <f t="shared" si="9"/>
        <v>8933288.8770000003</v>
      </c>
      <c r="E331" s="13">
        <v>3705151.3020000001</v>
      </c>
      <c r="F331" s="13">
        <v>570883.81799999997</v>
      </c>
      <c r="G331" s="13">
        <v>1274383.9850000001</v>
      </c>
      <c r="H331" s="13">
        <v>152775.69399999999</v>
      </c>
      <c r="I331" s="13">
        <v>105196.435</v>
      </c>
      <c r="J331" s="13">
        <v>169419.516</v>
      </c>
      <c r="K331" s="13">
        <v>1021384.687</v>
      </c>
      <c r="L331" s="13">
        <v>864343.87199999997</v>
      </c>
      <c r="M331" s="13">
        <v>124666.742</v>
      </c>
      <c r="N331" s="13">
        <v>178891.94200000001</v>
      </c>
      <c r="O331" s="13">
        <v>762664.64199999999</v>
      </c>
      <c r="P331" s="13">
        <v>3526.2420000000002</v>
      </c>
      <c r="Q331" s="23"/>
    </row>
    <row r="332" spans="1:17" s="50" customFormat="1" x14ac:dyDescent="0.25">
      <c r="A332" s="15">
        <v>45352</v>
      </c>
      <c r="B332" s="15">
        <v>45366</v>
      </c>
      <c r="C332" s="15">
        <v>45379</v>
      </c>
      <c r="D332" s="13">
        <f t="shared" si="9"/>
        <v>9150536.5200000014</v>
      </c>
      <c r="E332" s="13">
        <v>3821264.2289999998</v>
      </c>
      <c r="F332" s="13">
        <v>552998.78099999996</v>
      </c>
      <c r="G332" s="13">
        <v>1293516.0249999999</v>
      </c>
      <c r="H332" s="13">
        <v>155769.704</v>
      </c>
      <c r="I332" s="13">
        <v>106075.86900000001</v>
      </c>
      <c r="J332" s="13">
        <v>171569.84299999999</v>
      </c>
      <c r="K332" s="13">
        <v>1073441.2390000001</v>
      </c>
      <c r="L332" s="13">
        <v>882091.77800000005</v>
      </c>
      <c r="M332" s="13">
        <v>134676.53700000001</v>
      </c>
      <c r="N332" s="13">
        <v>181024.52299999999</v>
      </c>
      <c r="O332" s="13">
        <v>774911.16899999999</v>
      </c>
      <c r="P332" s="13">
        <v>3196.8229999999999</v>
      </c>
      <c r="Q332" s="23"/>
    </row>
    <row r="333" spans="1:17" s="50" customFormat="1" ht="14.1" customHeight="1" x14ac:dyDescent="0.25">
      <c r="A333" s="15">
        <v>45366</v>
      </c>
      <c r="B333" s="15">
        <v>45380</v>
      </c>
      <c r="C333" s="15">
        <v>45393</v>
      </c>
      <c r="D333" s="13">
        <f t="shared" si="9"/>
        <v>9780152.4100000001</v>
      </c>
      <c r="E333" s="13">
        <v>4160965.2409999999</v>
      </c>
      <c r="F333" s="13">
        <v>585557.43500000006</v>
      </c>
      <c r="G333" s="13">
        <v>1374150.24</v>
      </c>
      <c r="H333" s="13">
        <v>161671.60699999999</v>
      </c>
      <c r="I333" s="13">
        <v>113281.35799999999</v>
      </c>
      <c r="J333" s="13">
        <v>177116.52</v>
      </c>
      <c r="K333" s="13">
        <v>1155886.2660000001</v>
      </c>
      <c r="L333" s="13">
        <v>917276.08</v>
      </c>
      <c r="M333" s="13">
        <v>154659.98800000001</v>
      </c>
      <c r="N333" s="13">
        <v>184873.04</v>
      </c>
      <c r="O333" s="13">
        <v>791200.51599999995</v>
      </c>
      <c r="P333" s="13">
        <v>3514.1190000000001</v>
      </c>
      <c r="Q333" s="23"/>
    </row>
    <row r="334" spans="1:17" s="50" customFormat="1" x14ac:dyDescent="0.25">
      <c r="A334" s="15">
        <v>45380</v>
      </c>
      <c r="B334" s="15">
        <v>45394</v>
      </c>
      <c r="C334" s="15">
        <v>45407</v>
      </c>
      <c r="D334" s="13">
        <f t="shared" si="9"/>
        <v>9951729.9120000005</v>
      </c>
      <c r="E334" s="13">
        <v>4255071.4369999999</v>
      </c>
      <c r="F334" s="13">
        <v>575373.62199999997</v>
      </c>
      <c r="G334" s="13">
        <v>1366762.121</v>
      </c>
      <c r="H334" s="13">
        <v>160205.04</v>
      </c>
      <c r="I334" s="13">
        <v>111293.89</v>
      </c>
      <c r="J334" s="13">
        <v>175966.86799999999</v>
      </c>
      <c r="K334" s="13">
        <v>1209737.2860000001</v>
      </c>
      <c r="L334" s="13">
        <v>914863.777</v>
      </c>
      <c r="M334" s="13">
        <v>164562.16099999999</v>
      </c>
      <c r="N334" s="13">
        <v>219735.122</v>
      </c>
      <c r="O334" s="13">
        <v>794364.76199999999</v>
      </c>
      <c r="P334" s="13">
        <v>3793.826</v>
      </c>
      <c r="Q334" s="23"/>
    </row>
    <row r="335" spans="1:17" s="50" customFormat="1" x14ac:dyDescent="0.25">
      <c r="A335" s="15">
        <v>45391</v>
      </c>
      <c r="B335" s="15">
        <v>45408</v>
      </c>
      <c r="C335" s="15">
        <v>45421</v>
      </c>
      <c r="D335" s="13">
        <f t="shared" si="9"/>
        <v>9813739.626000002</v>
      </c>
      <c r="E335" s="13">
        <v>4148712.7650000001</v>
      </c>
      <c r="F335" s="13">
        <v>524072.07900000003</v>
      </c>
      <c r="G335" s="13">
        <v>1364141.102</v>
      </c>
      <c r="H335" s="13">
        <v>154968.837</v>
      </c>
      <c r="I335" s="13">
        <v>108455.13499999999</v>
      </c>
      <c r="J335" s="13">
        <v>173859.791</v>
      </c>
      <c r="K335" s="13">
        <v>1246585.024</v>
      </c>
      <c r="L335" s="13">
        <v>909806.97400000005</v>
      </c>
      <c r="M335" s="13">
        <v>168089.61900000001</v>
      </c>
      <c r="N335" s="13">
        <v>224989.86499999999</v>
      </c>
      <c r="O335" s="13">
        <v>786379.99899999995</v>
      </c>
      <c r="P335" s="13">
        <v>3678.4360000000001</v>
      </c>
      <c r="Q335" s="23"/>
    </row>
    <row r="336" spans="1:17" s="50" customFormat="1" x14ac:dyDescent="0.25">
      <c r="A336" s="15">
        <v>45408</v>
      </c>
      <c r="B336" s="15">
        <v>45422</v>
      </c>
      <c r="C336" s="15">
        <v>45435</v>
      </c>
      <c r="D336" s="13">
        <f t="shared" si="9"/>
        <v>9820912.4210000001</v>
      </c>
      <c r="E336" s="13">
        <v>4174008.8739999998</v>
      </c>
      <c r="F336" s="13">
        <v>544650.598</v>
      </c>
      <c r="G336" s="13">
        <v>1339986.547</v>
      </c>
      <c r="H336" s="13">
        <v>150896.91899999999</v>
      </c>
      <c r="I336" s="13">
        <v>111502.64599999999</v>
      </c>
      <c r="J336" s="13">
        <v>174301.26</v>
      </c>
      <c r="K336" s="13">
        <v>1287683.946</v>
      </c>
      <c r="L336" s="13">
        <v>867503.96900000004</v>
      </c>
      <c r="M336" s="13">
        <v>187837.36600000001</v>
      </c>
      <c r="N336" s="13">
        <v>227670.886</v>
      </c>
      <c r="O336" s="13">
        <v>752397.53500000003</v>
      </c>
      <c r="P336" s="13">
        <v>2471.875</v>
      </c>
      <c r="Q336" s="23"/>
    </row>
    <row r="337" spans="1:17" s="50" customFormat="1" x14ac:dyDescent="0.25">
      <c r="A337" s="15">
        <v>45422</v>
      </c>
      <c r="B337" s="15">
        <v>45436</v>
      </c>
      <c r="C337" s="15">
        <v>45449</v>
      </c>
      <c r="D337" s="13">
        <f t="shared" si="9"/>
        <v>9547265.3540000003</v>
      </c>
      <c r="E337" s="13">
        <v>3986273.9160000002</v>
      </c>
      <c r="F337" s="13">
        <v>504502.99200000003</v>
      </c>
      <c r="G337" s="13">
        <v>1278696.672</v>
      </c>
      <c r="H337" s="13">
        <v>143408.658</v>
      </c>
      <c r="I337" s="13">
        <v>106105.754</v>
      </c>
      <c r="J337" s="13">
        <v>172816.20300000001</v>
      </c>
      <c r="K337" s="13">
        <v>1269296.0049999999</v>
      </c>
      <c r="L337" s="13">
        <v>932236.41</v>
      </c>
      <c r="M337" s="13">
        <v>188120.84299999999</v>
      </c>
      <c r="N337" s="13">
        <v>225458.06599999999</v>
      </c>
      <c r="O337" s="13">
        <v>737164.30799999996</v>
      </c>
      <c r="P337" s="13">
        <v>3185.527</v>
      </c>
      <c r="Q337" s="23"/>
    </row>
    <row r="338" spans="1:17" s="50" customFormat="1" x14ac:dyDescent="0.25">
      <c r="A338" s="15">
        <v>45436</v>
      </c>
      <c r="B338" s="15">
        <v>45450</v>
      </c>
      <c r="C338" s="15">
        <v>45463</v>
      </c>
      <c r="D338" s="13">
        <f t="shared" si="9"/>
        <v>9477484.7539999988</v>
      </c>
      <c r="E338" s="13">
        <v>3995966.9</v>
      </c>
      <c r="F338" s="13">
        <v>472210.38400000002</v>
      </c>
      <c r="G338" s="13">
        <v>1214364.327</v>
      </c>
      <c r="H338" s="13">
        <v>144779.14000000001</v>
      </c>
      <c r="I338" s="13">
        <v>102665.70699999999</v>
      </c>
      <c r="J338" s="13">
        <v>168458.33600000001</v>
      </c>
      <c r="K338" s="13">
        <v>1245317.6640000001</v>
      </c>
      <c r="L338" s="13">
        <v>968219.73</v>
      </c>
      <c r="M338" s="13">
        <v>187908.71900000001</v>
      </c>
      <c r="N338" s="13">
        <v>225494.22399999999</v>
      </c>
      <c r="O338" s="13">
        <v>746540.84</v>
      </c>
      <c r="P338" s="13">
        <v>5558.7830000000004</v>
      </c>
      <c r="Q338" s="23"/>
    </row>
    <row r="339" spans="1:17" s="50" customFormat="1" x14ac:dyDescent="0.25">
      <c r="A339" s="17">
        <v>45450</v>
      </c>
      <c r="B339" s="17">
        <v>45464</v>
      </c>
      <c r="C339" s="17">
        <v>45477</v>
      </c>
      <c r="D339" s="18">
        <f t="shared" si="9"/>
        <v>9367233.0109999999</v>
      </c>
      <c r="E339" s="18">
        <v>3886805.128</v>
      </c>
      <c r="F339" s="18">
        <v>466560.29800000001</v>
      </c>
      <c r="G339" s="18">
        <v>1192367.5349999999</v>
      </c>
      <c r="H339" s="18">
        <v>151133.91800000001</v>
      </c>
      <c r="I339" s="18">
        <v>99799.804000000004</v>
      </c>
      <c r="J339" s="18">
        <v>168179.49400000001</v>
      </c>
      <c r="K339" s="18">
        <v>1242356.5</v>
      </c>
      <c r="L339" s="18">
        <v>983212.71600000001</v>
      </c>
      <c r="M339" s="18">
        <v>188575.486</v>
      </c>
      <c r="N339" s="18">
        <v>234932.508</v>
      </c>
      <c r="O339" s="18">
        <v>749337.69200000004</v>
      </c>
      <c r="P339" s="18">
        <v>3971.9319999999998</v>
      </c>
      <c r="Q339" s="23"/>
    </row>
    <row r="340" spans="1:17" s="50" customFormat="1" x14ac:dyDescent="0.25">
      <c r="A340" s="5"/>
      <c r="B340" s="5"/>
      <c r="C340" s="5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4"/>
      <c r="O340" s="4"/>
    </row>
    <row r="341" spans="1:17" s="2" customFormat="1" ht="75.75" customHeight="1" x14ac:dyDescent="0.25">
      <c r="A341" s="27" t="s">
        <v>9</v>
      </c>
      <c r="B341" s="28" t="s">
        <v>40</v>
      </c>
      <c r="C341" s="28" t="s">
        <v>41</v>
      </c>
      <c r="D341" s="28" t="s">
        <v>6</v>
      </c>
      <c r="E341" s="28" t="s">
        <v>16</v>
      </c>
      <c r="F341" s="28" t="s">
        <v>2</v>
      </c>
      <c r="G341" s="28" t="s">
        <v>3</v>
      </c>
      <c r="H341" s="28" t="s">
        <v>4</v>
      </c>
      <c r="I341" s="28" t="s">
        <v>1</v>
      </c>
      <c r="J341" s="28" t="s">
        <v>5</v>
      </c>
      <c r="K341" s="28" t="s">
        <v>7</v>
      </c>
      <c r="L341" s="28" t="s">
        <v>28</v>
      </c>
      <c r="M341" s="28" t="s">
        <v>8</v>
      </c>
      <c r="N341" s="28" t="s">
        <v>11</v>
      </c>
      <c r="O341" s="28" t="s">
        <v>12</v>
      </c>
      <c r="P341" s="37" t="s">
        <v>29</v>
      </c>
      <c r="Q341" s="37" t="s">
        <v>45</v>
      </c>
    </row>
    <row r="342" spans="1:17" s="50" customFormat="1" x14ac:dyDescent="0.25">
      <c r="A342" s="15">
        <v>45464</v>
      </c>
      <c r="B342" s="15">
        <v>45478</v>
      </c>
      <c r="C342" s="15">
        <v>45491</v>
      </c>
      <c r="D342" s="13">
        <f t="shared" ref="D342:D351" si="10">SUM(E342:Q342)</f>
        <v>9477224.5860000011</v>
      </c>
      <c r="E342" s="13">
        <v>3930091.2039999999</v>
      </c>
      <c r="F342" s="13">
        <v>476742.86800000002</v>
      </c>
      <c r="G342" s="13">
        <v>1189405.3910000001</v>
      </c>
      <c r="H342" s="13">
        <v>151146.20300000001</v>
      </c>
      <c r="I342" s="13">
        <v>98272.945999999996</v>
      </c>
      <c r="J342" s="13">
        <v>168297.736</v>
      </c>
      <c r="K342" s="13">
        <v>1236007.031</v>
      </c>
      <c r="L342" s="13">
        <v>1024723.4129999999</v>
      </c>
      <c r="M342" s="13">
        <v>187565.83900000001</v>
      </c>
      <c r="N342" s="13">
        <v>235681.81099999999</v>
      </c>
      <c r="O342" s="13">
        <v>775148.07</v>
      </c>
      <c r="P342" s="13">
        <v>3689.39</v>
      </c>
      <c r="Q342" s="12">
        <v>452.68400000000003</v>
      </c>
    </row>
    <row r="343" spans="1:17" s="50" customFormat="1" x14ac:dyDescent="0.25">
      <c r="A343" s="15">
        <v>45478</v>
      </c>
      <c r="B343" s="15">
        <v>45492</v>
      </c>
      <c r="C343" s="15">
        <v>45505</v>
      </c>
      <c r="D343" s="13">
        <f t="shared" si="10"/>
        <v>9400816.4220000003</v>
      </c>
      <c r="E343" s="13">
        <v>3822702.5759999999</v>
      </c>
      <c r="F343" s="13">
        <v>460118.24</v>
      </c>
      <c r="G343" s="13">
        <v>1196677.267</v>
      </c>
      <c r="H343" s="13">
        <v>159111.41699999999</v>
      </c>
      <c r="I343" s="13">
        <v>99830.991999999998</v>
      </c>
      <c r="J343" s="13">
        <v>169038.685</v>
      </c>
      <c r="K343" s="13">
        <v>1235005.2409999999</v>
      </c>
      <c r="L343" s="13">
        <v>1054064.105</v>
      </c>
      <c r="M343" s="13">
        <v>187491.91099999999</v>
      </c>
      <c r="N343" s="13">
        <v>234806.29399999999</v>
      </c>
      <c r="O343" s="13">
        <v>778416.96299999999</v>
      </c>
      <c r="P343" s="13">
        <v>3100.047</v>
      </c>
      <c r="Q343" s="13">
        <v>452.68400000000003</v>
      </c>
    </row>
    <row r="344" spans="1:17" s="50" customFormat="1" x14ac:dyDescent="0.25">
      <c r="A344" s="15">
        <v>45492</v>
      </c>
      <c r="B344" s="15">
        <v>45506</v>
      </c>
      <c r="C344" s="15">
        <v>45519</v>
      </c>
      <c r="D344" s="13">
        <f t="shared" si="10"/>
        <v>9670292.5669999998</v>
      </c>
      <c r="E344" s="13">
        <v>3969280.5070000002</v>
      </c>
      <c r="F344" s="13">
        <v>450528.68199999997</v>
      </c>
      <c r="G344" s="13">
        <v>1228972.2660000001</v>
      </c>
      <c r="H344" s="13">
        <v>169580.52799999999</v>
      </c>
      <c r="I344" s="13">
        <v>103096.18700000001</v>
      </c>
      <c r="J344" s="13">
        <v>173330.73800000001</v>
      </c>
      <c r="K344" s="13">
        <v>1258190.743</v>
      </c>
      <c r="L344" s="13">
        <v>1091452.358</v>
      </c>
      <c r="M344" s="13">
        <v>191462.098</v>
      </c>
      <c r="N344" s="13">
        <v>239734.18299999999</v>
      </c>
      <c r="O344" s="13">
        <v>790520.33900000004</v>
      </c>
      <c r="P344" s="13">
        <v>3691.2539999999999</v>
      </c>
      <c r="Q344" s="13">
        <v>452.68400000000003</v>
      </c>
    </row>
    <row r="345" spans="1:17" s="50" customFormat="1" x14ac:dyDescent="0.25">
      <c r="A345" s="15">
        <v>45506</v>
      </c>
      <c r="B345" s="15">
        <v>45520</v>
      </c>
      <c r="C345" s="15">
        <v>45533</v>
      </c>
      <c r="D345" s="13">
        <f t="shared" si="10"/>
        <v>9702412.137000002</v>
      </c>
      <c r="E345" s="13">
        <v>3972016.9010000001</v>
      </c>
      <c r="F345" s="13">
        <v>470115.18</v>
      </c>
      <c r="G345" s="13">
        <v>1218922.341</v>
      </c>
      <c r="H345" s="13">
        <v>175111.489</v>
      </c>
      <c r="I345" s="13">
        <v>105161.97</v>
      </c>
      <c r="J345" s="13">
        <v>172972.264</v>
      </c>
      <c r="K345" s="13">
        <v>1253845.186</v>
      </c>
      <c r="L345" s="13">
        <v>1104862.99</v>
      </c>
      <c r="M345" s="13">
        <v>191849.106</v>
      </c>
      <c r="N345" s="13">
        <v>239127.845</v>
      </c>
      <c r="O345" s="13">
        <v>794162.31400000001</v>
      </c>
      <c r="P345" s="13">
        <v>3811.8670000000002</v>
      </c>
      <c r="Q345" s="13">
        <v>452.68400000000003</v>
      </c>
    </row>
    <row r="346" spans="1:17" s="50" customFormat="1" x14ac:dyDescent="0.25">
      <c r="A346" s="15">
        <v>45520</v>
      </c>
      <c r="B346" s="15">
        <v>45537</v>
      </c>
      <c r="C346" s="15">
        <v>45547</v>
      </c>
      <c r="D346" s="13">
        <f t="shared" si="10"/>
        <v>10010584.073000003</v>
      </c>
      <c r="E346" s="13">
        <v>4114736.335</v>
      </c>
      <c r="F346" s="13">
        <v>487143.96299999999</v>
      </c>
      <c r="G346" s="13">
        <v>1270361.0330000001</v>
      </c>
      <c r="H346" s="13">
        <v>183695.80300000001</v>
      </c>
      <c r="I346" s="13">
        <v>113053.183</v>
      </c>
      <c r="J346" s="13">
        <v>179231.617</v>
      </c>
      <c r="K346" s="13">
        <v>1279227.754</v>
      </c>
      <c r="L346" s="13">
        <v>1135789.3470000001</v>
      </c>
      <c r="M346" s="13">
        <v>196314.584</v>
      </c>
      <c r="N346" s="13">
        <v>242819.74400000001</v>
      </c>
      <c r="O346" s="13">
        <v>803603.65099999995</v>
      </c>
      <c r="P346" s="13">
        <v>3817.1060000000002</v>
      </c>
      <c r="Q346" s="13">
        <v>789.95299999999997</v>
      </c>
    </row>
    <row r="347" spans="1:17" s="50" customFormat="1" x14ac:dyDescent="0.25">
      <c r="A347" s="15">
        <v>45533</v>
      </c>
      <c r="B347" s="15">
        <v>45548</v>
      </c>
      <c r="C347" s="15">
        <v>45561</v>
      </c>
      <c r="D347" s="13">
        <f t="shared" si="10"/>
        <v>10294797.012000002</v>
      </c>
      <c r="E347" s="13">
        <v>4278143.7949999999</v>
      </c>
      <c r="F347" s="13">
        <v>490096.26</v>
      </c>
      <c r="G347" s="13">
        <v>1291198.929</v>
      </c>
      <c r="H347" s="13">
        <v>186953.473</v>
      </c>
      <c r="I347" s="13">
        <v>117828.257</v>
      </c>
      <c r="J347" s="13">
        <v>184438.95499999999</v>
      </c>
      <c r="K347" s="13">
        <v>1319023.6740000001</v>
      </c>
      <c r="L347" s="13">
        <v>1163112.5390000001</v>
      </c>
      <c r="M347" s="13">
        <v>199419.26800000001</v>
      </c>
      <c r="N347" s="13">
        <v>247072.389</v>
      </c>
      <c r="O347" s="13">
        <v>812850.90300000005</v>
      </c>
      <c r="P347" s="13">
        <v>3868.6170000000002</v>
      </c>
      <c r="Q347" s="13">
        <v>789.95299999999997</v>
      </c>
    </row>
    <row r="348" spans="1:17" s="50" customFormat="1" x14ac:dyDescent="0.25">
      <c r="A348" s="15">
        <v>45548</v>
      </c>
      <c r="B348" s="15">
        <v>45562</v>
      </c>
      <c r="C348" s="15">
        <v>45575</v>
      </c>
      <c r="D348" s="13">
        <f t="shared" si="10"/>
        <v>10205747.467000002</v>
      </c>
      <c r="E348" s="13">
        <v>4272122.426</v>
      </c>
      <c r="F348" s="13">
        <v>494817.07699999999</v>
      </c>
      <c r="G348" s="13">
        <v>1208623.0730000001</v>
      </c>
      <c r="H348" s="13">
        <v>177948.67600000001</v>
      </c>
      <c r="I348" s="13">
        <v>117931.625</v>
      </c>
      <c r="J348" s="13">
        <v>181356.155</v>
      </c>
      <c r="K348" s="13">
        <v>1334140.192</v>
      </c>
      <c r="L348" s="13">
        <v>1168586.3570000001</v>
      </c>
      <c r="M348" s="13">
        <v>199810.22099999999</v>
      </c>
      <c r="N348" s="13">
        <v>248832.614</v>
      </c>
      <c r="O348" s="13">
        <v>797875.03700000001</v>
      </c>
      <c r="P348" s="13">
        <v>2914.0610000000001</v>
      </c>
      <c r="Q348" s="13">
        <v>789.95299999999997</v>
      </c>
    </row>
    <row r="349" spans="1:17" s="50" customFormat="1" x14ac:dyDescent="0.25">
      <c r="A349" s="15">
        <v>45562</v>
      </c>
      <c r="B349" s="15">
        <v>45576</v>
      </c>
      <c r="C349" s="15">
        <v>45589</v>
      </c>
      <c r="D349" s="13">
        <f t="shared" si="10"/>
        <v>10406192.585999999</v>
      </c>
      <c r="E349" s="13">
        <v>4368003.4989999998</v>
      </c>
      <c r="F349" s="13">
        <v>509725.01500000001</v>
      </c>
      <c r="G349" s="13">
        <v>1185387.8600000001</v>
      </c>
      <c r="H349" s="13">
        <v>177368.73199999999</v>
      </c>
      <c r="I349" s="13">
        <v>122332.342</v>
      </c>
      <c r="J349" s="13">
        <v>183941.68</v>
      </c>
      <c r="K349" s="13">
        <v>1402043.6529999999</v>
      </c>
      <c r="L349" s="13">
        <v>1184111.648</v>
      </c>
      <c r="M349" s="13">
        <v>201053.22899999999</v>
      </c>
      <c r="N349" s="13">
        <v>248262.557</v>
      </c>
      <c r="O349" s="13">
        <v>821817.13600000006</v>
      </c>
      <c r="P349" s="13">
        <v>1355.2819999999999</v>
      </c>
      <c r="Q349" s="13">
        <v>789.95299999999997</v>
      </c>
    </row>
    <row r="350" spans="1:17" s="50" customFormat="1" x14ac:dyDescent="0.25">
      <c r="A350" s="15">
        <v>45576</v>
      </c>
      <c r="B350" s="15">
        <v>45590</v>
      </c>
      <c r="C350" s="15">
        <v>45603</v>
      </c>
      <c r="D350" s="13">
        <f t="shared" si="10"/>
        <v>10259209.504999997</v>
      </c>
      <c r="E350" s="13">
        <v>4309429.3940000003</v>
      </c>
      <c r="F350" s="13">
        <v>490896.04300000001</v>
      </c>
      <c r="G350" s="13">
        <v>1140561.3929999999</v>
      </c>
      <c r="H350" s="13">
        <v>172194.39600000001</v>
      </c>
      <c r="I350" s="13">
        <v>121956.476</v>
      </c>
      <c r="J350" s="13">
        <v>179097.326</v>
      </c>
      <c r="K350" s="13">
        <v>1379952.987</v>
      </c>
      <c r="L350" s="13">
        <v>1176420.648</v>
      </c>
      <c r="M350" s="13">
        <v>200365.231</v>
      </c>
      <c r="N350" s="13">
        <v>247455.41500000001</v>
      </c>
      <c r="O350" s="13">
        <v>838388.62100000004</v>
      </c>
      <c r="P350" s="13">
        <v>1701.6220000000001</v>
      </c>
      <c r="Q350" s="13">
        <v>789.95299999999997</v>
      </c>
    </row>
    <row r="351" spans="1:17" s="50" customFormat="1" x14ac:dyDescent="0.25">
      <c r="A351" s="15">
        <v>45590</v>
      </c>
      <c r="B351" s="15">
        <v>45604</v>
      </c>
      <c r="C351" s="15">
        <v>45617</v>
      </c>
      <c r="D351" s="13">
        <f t="shared" si="10"/>
        <v>10329433.658</v>
      </c>
      <c r="E351" s="13">
        <v>4359328.8159999996</v>
      </c>
      <c r="F351" s="13">
        <v>460176.50300000003</v>
      </c>
      <c r="G351" s="13">
        <v>1174624.548</v>
      </c>
      <c r="H351" s="13">
        <v>167421.57699999999</v>
      </c>
      <c r="I351" s="13">
        <v>124303.113</v>
      </c>
      <c r="J351" s="13">
        <v>174460.003</v>
      </c>
      <c r="K351" s="13">
        <v>1412651.2990000001</v>
      </c>
      <c r="L351" s="13">
        <v>1167896.2239999999</v>
      </c>
      <c r="M351" s="13">
        <v>199918.59400000001</v>
      </c>
      <c r="N351" s="13">
        <v>251716.826</v>
      </c>
      <c r="O351" s="13">
        <v>833789.60699999996</v>
      </c>
      <c r="P351" s="13">
        <v>2356.5949999999998</v>
      </c>
      <c r="Q351" s="13">
        <v>789.95299999999997</v>
      </c>
    </row>
    <row r="352" spans="1:17" s="50" customFormat="1" x14ac:dyDescent="0.25">
      <c r="A352" s="15">
        <v>45604</v>
      </c>
      <c r="B352" s="15">
        <v>45618</v>
      </c>
      <c r="C352" s="15">
        <v>45631</v>
      </c>
      <c r="D352" s="13">
        <f t="shared" ref="D352:D363" si="11">SUM(E352:Q352)</f>
        <v>10241315.085000001</v>
      </c>
      <c r="E352" s="13">
        <v>4322219.7920000004</v>
      </c>
      <c r="F352" s="13">
        <v>441378.61800000002</v>
      </c>
      <c r="G352" s="13">
        <v>1176564.378</v>
      </c>
      <c r="H352" s="13">
        <v>164446.99299999999</v>
      </c>
      <c r="I352" s="13">
        <v>121166.879</v>
      </c>
      <c r="J352" s="13">
        <v>173913.802</v>
      </c>
      <c r="K352" s="13">
        <v>1397438.7609999999</v>
      </c>
      <c r="L352" s="13">
        <v>1172224.8500000001</v>
      </c>
      <c r="M352" s="13">
        <v>191318.611</v>
      </c>
      <c r="N352" s="13">
        <v>243836.18599999999</v>
      </c>
      <c r="O352" s="13">
        <v>834426.73899999994</v>
      </c>
      <c r="P352" s="13">
        <v>1589.5229999999999</v>
      </c>
      <c r="Q352" s="13">
        <v>789.95299999999997</v>
      </c>
    </row>
    <row r="353" spans="1:18" s="50" customFormat="1" x14ac:dyDescent="0.25">
      <c r="A353" s="15">
        <v>45618</v>
      </c>
      <c r="B353" s="15">
        <v>45632</v>
      </c>
      <c r="C353" s="15">
        <v>45645</v>
      </c>
      <c r="D353" s="13">
        <f t="shared" si="11"/>
        <v>10300876.137999998</v>
      </c>
      <c r="E353" s="13">
        <v>4377984.4510000004</v>
      </c>
      <c r="F353" s="13">
        <v>429616.56</v>
      </c>
      <c r="G353" s="13">
        <v>1163709.335</v>
      </c>
      <c r="H353" s="13">
        <v>159020.734</v>
      </c>
      <c r="I353" s="13">
        <v>124233.527</v>
      </c>
      <c r="J353" s="13">
        <v>170655.53400000001</v>
      </c>
      <c r="K353" s="13">
        <v>1391259.1969999999</v>
      </c>
      <c r="L353" s="13">
        <v>1182025.781</v>
      </c>
      <c r="M353" s="13">
        <v>216798.53099999999</v>
      </c>
      <c r="N353" s="13">
        <v>244549.87599999999</v>
      </c>
      <c r="O353" s="13">
        <v>837967.93299999996</v>
      </c>
      <c r="P353" s="13">
        <v>2264.7260000000001</v>
      </c>
      <c r="Q353" s="13">
        <v>789.95299999999997</v>
      </c>
    </row>
    <row r="354" spans="1:18" s="50" customFormat="1" x14ac:dyDescent="0.25">
      <c r="A354" s="15">
        <v>45632</v>
      </c>
      <c r="B354" s="15">
        <v>45646</v>
      </c>
      <c r="C354" s="15">
        <v>45659</v>
      </c>
      <c r="D354" s="13">
        <f t="shared" si="11"/>
        <v>10229583.941</v>
      </c>
      <c r="E354" s="13">
        <v>4292787.5259999996</v>
      </c>
      <c r="F354" s="13">
        <v>384645.592</v>
      </c>
      <c r="G354" s="13">
        <v>1165186.9990000001</v>
      </c>
      <c r="H354" s="13">
        <v>157466.571</v>
      </c>
      <c r="I354" s="13">
        <v>122522.15</v>
      </c>
      <c r="J354" s="13">
        <v>168956.375</v>
      </c>
      <c r="K354" s="13">
        <v>1389307.801</v>
      </c>
      <c r="L354" s="13">
        <v>1214279.334</v>
      </c>
      <c r="M354" s="13">
        <v>220289.60500000001</v>
      </c>
      <c r="N354" s="13">
        <v>262056.51500000001</v>
      </c>
      <c r="O354" s="13">
        <v>848707.86499999999</v>
      </c>
      <c r="P354" s="13">
        <v>2587.6550000000002</v>
      </c>
      <c r="Q354" s="13">
        <v>789.95299999999997</v>
      </c>
    </row>
    <row r="355" spans="1:18" s="50" customFormat="1" x14ac:dyDescent="0.25">
      <c r="A355" s="15">
        <v>45646</v>
      </c>
      <c r="B355" s="15">
        <v>45660</v>
      </c>
      <c r="C355" s="15">
        <v>45673</v>
      </c>
      <c r="D355" s="13">
        <f t="shared" si="11"/>
        <v>10389628.075999999</v>
      </c>
      <c r="E355" s="13">
        <v>4349875.852</v>
      </c>
      <c r="F355" s="13">
        <v>389080.99699999997</v>
      </c>
      <c r="G355" s="13">
        <v>1166197.027</v>
      </c>
      <c r="H355" s="13">
        <v>159373.73499999999</v>
      </c>
      <c r="I355" s="13">
        <v>122404.322</v>
      </c>
      <c r="J355" s="13">
        <v>169769.80900000001</v>
      </c>
      <c r="K355" s="13">
        <v>1444496.3859999999</v>
      </c>
      <c r="L355" s="13">
        <v>1192988.2039999999</v>
      </c>
      <c r="M355" s="13">
        <v>213967.204</v>
      </c>
      <c r="N355" s="13">
        <v>265562.86800000002</v>
      </c>
      <c r="O355" s="13">
        <v>911585.65099999995</v>
      </c>
      <c r="P355" s="13">
        <v>3536.0680000000002</v>
      </c>
      <c r="Q355" s="13">
        <v>789.95299999999997</v>
      </c>
    </row>
    <row r="356" spans="1:18" s="50" customFormat="1" x14ac:dyDescent="0.25">
      <c r="A356" s="15">
        <v>45660</v>
      </c>
      <c r="B356" s="15">
        <v>45674</v>
      </c>
      <c r="C356" s="15">
        <v>45687</v>
      </c>
      <c r="D356" s="13">
        <f t="shared" si="11"/>
        <v>10507111.248000002</v>
      </c>
      <c r="E356" s="13">
        <v>4393644.8310000002</v>
      </c>
      <c r="F356" s="13">
        <v>416766.701</v>
      </c>
      <c r="G356" s="13">
        <v>1175788.4439999999</v>
      </c>
      <c r="H356" s="13">
        <v>164134.595</v>
      </c>
      <c r="I356" s="13">
        <v>118552.696</v>
      </c>
      <c r="J356" s="13">
        <v>167402.899</v>
      </c>
      <c r="K356" s="13">
        <v>1466125.4310000001</v>
      </c>
      <c r="L356" s="13">
        <v>1208018.4680000001</v>
      </c>
      <c r="M356" s="13">
        <v>225183.75399999999</v>
      </c>
      <c r="N356" s="13">
        <v>251138.17</v>
      </c>
      <c r="O356" s="13">
        <v>916912.75100000005</v>
      </c>
      <c r="P356" s="13">
        <v>2652.5549999999998</v>
      </c>
      <c r="Q356" s="13">
        <v>789.95299999999997</v>
      </c>
    </row>
    <row r="357" spans="1:18" s="50" customFormat="1" x14ac:dyDescent="0.25">
      <c r="A357" s="15">
        <v>45674</v>
      </c>
      <c r="B357" s="15">
        <v>45688</v>
      </c>
      <c r="C357" s="15">
        <v>45701</v>
      </c>
      <c r="D357" s="13">
        <f t="shared" si="11"/>
        <v>10539890.881000001</v>
      </c>
      <c r="E357" s="13">
        <v>4366126.8119999999</v>
      </c>
      <c r="F357" s="13">
        <v>437170.24599999998</v>
      </c>
      <c r="G357" s="13">
        <v>1185936.031</v>
      </c>
      <c r="H357" s="13">
        <v>167298.21299999999</v>
      </c>
      <c r="I357" s="13">
        <v>121528.099</v>
      </c>
      <c r="J357" s="13">
        <v>166415.71400000001</v>
      </c>
      <c r="K357" s="13">
        <v>1467120.2320000001</v>
      </c>
      <c r="L357" s="13">
        <v>1232523.4709999999</v>
      </c>
      <c r="M357" s="13">
        <v>228191.435</v>
      </c>
      <c r="N357" s="13">
        <v>271859.11700000003</v>
      </c>
      <c r="O357" s="13">
        <v>892462.201</v>
      </c>
      <c r="P357" s="13">
        <v>2469.357</v>
      </c>
      <c r="Q357" s="13">
        <v>789.95299999999997</v>
      </c>
    </row>
    <row r="358" spans="1:18" s="50" customFormat="1" x14ac:dyDescent="0.25">
      <c r="A358" s="15">
        <v>45688</v>
      </c>
      <c r="B358" s="15">
        <v>45702</v>
      </c>
      <c r="C358" s="15">
        <v>45715</v>
      </c>
      <c r="D358" s="13">
        <f t="shared" si="11"/>
        <v>10752000.060999999</v>
      </c>
      <c r="E358" s="13">
        <v>4404154.8930000002</v>
      </c>
      <c r="F358" s="13">
        <v>451570.09299999999</v>
      </c>
      <c r="G358" s="13">
        <v>1235143.497</v>
      </c>
      <c r="H358" s="13">
        <v>179428.34400000001</v>
      </c>
      <c r="I358" s="13">
        <v>124591.72100000001</v>
      </c>
      <c r="J358" s="13">
        <v>170877.389</v>
      </c>
      <c r="K358" s="13">
        <v>1441233.0430000001</v>
      </c>
      <c r="L358" s="13">
        <v>1332785.4369999999</v>
      </c>
      <c r="M358" s="13">
        <v>246365.44200000001</v>
      </c>
      <c r="N358" s="13">
        <v>274390.261</v>
      </c>
      <c r="O358" s="13">
        <v>887267.90599999996</v>
      </c>
      <c r="P358" s="13">
        <v>2901.0050000000001</v>
      </c>
      <c r="Q358" s="13">
        <v>1291.03</v>
      </c>
    </row>
    <row r="359" spans="1:18" s="50" customFormat="1" x14ac:dyDescent="0.25">
      <c r="A359" s="15">
        <v>45702</v>
      </c>
      <c r="B359" s="15">
        <v>45716</v>
      </c>
      <c r="C359" s="15">
        <v>45729</v>
      </c>
      <c r="D359" s="13">
        <f t="shared" si="11"/>
        <v>11093138.899999999</v>
      </c>
      <c r="E359" s="13">
        <v>4564919.3499999996</v>
      </c>
      <c r="F359" s="13">
        <v>464546.473</v>
      </c>
      <c r="G359" s="13">
        <v>1278121.55</v>
      </c>
      <c r="H359" s="13">
        <v>193668.568</v>
      </c>
      <c r="I359" s="13">
        <v>125228.61599999999</v>
      </c>
      <c r="J359" s="13">
        <v>172509.01800000001</v>
      </c>
      <c r="K359" s="13">
        <v>1450292.0430000001</v>
      </c>
      <c r="L359" s="13">
        <v>1400747.915</v>
      </c>
      <c r="M359" s="13">
        <v>244507.239</v>
      </c>
      <c r="N359" s="13">
        <v>278588.62300000002</v>
      </c>
      <c r="O359" s="13">
        <v>916491.73499999999</v>
      </c>
      <c r="P359" s="13">
        <v>2226.7399999999998</v>
      </c>
      <c r="Q359" s="13">
        <v>1291.03</v>
      </c>
    </row>
    <row r="360" spans="1:18" s="50" customFormat="1" x14ac:dyDescent="0.25">
      <c r="A360" s="15">
        <v>45716</v>
      </c>
      <c r="B360" s="15">
        <v>45730</v>
      </c>
      <c r="C360" s="15">
        <v>45743</v>
      </c>
      <c r="D360" s="13">
        <f t="shared" si="11"/>
        <v>11282501.124</v>
      </c>
      <c r="E360" s="13">
        <v>4582639.2740000002</v>
      </c>
      <c r="F360" s="13">
        <v>485026.087</v>
      </c>
      <c r="G360" s="13">
        <v>1347205.121</v>
      </c>
      <c r="H360" s="13">
        <v>202704.459</v>
      </c>
      <c r="I360" s="13">
        <v>130184.04</v>
      </c>
      <c r="J360" s="13">
        <v>172716.33300000001</v>
      </c>
      <c r="K360" s="13">
        <v>1436284.8910000001</v>
      </c>
      <c r="L360" s="13">
        <v>1459754.78</v>
      </c>
      <c r="M360" s="13">
        <v>258787.46799999999</v>
      </c>
      <c r="N360" s="13">
        <v>283471.09600000002</v>
      </c>
      <c r="O360" s="13">
        <v>920635.18500000006</v>
      </c>
      <c r="P360" s="13">
        <v>1801.36</v>
      </c>
      <c r="Q360" s="13">
        <v>1291.03</v>
      </c>
    </row>
    <row r="361" spans="1:18" s="50" customFormat="1" x14ac:dyDescent="0.25">
      <c r="A361" s="15">
        <v>45730</v>
      </c>
      <c r="B361" s="15">
        <v>45744</v>
      </c>
      <c r="C361" s="15">
        <v>45757</v>
      </c>
      <c r="D361" s="13">
        <f t="shared" si="11"/>
        <v>11682997.628999999</v>
      </c>
      <c r="E361" s="13">
        <v>4743044.4009999996</v>
      </c>
      <c r="F361" s="13">
        <v>509565.53600000002</v>
      </c>
      <c r="G361" s="13">
        <v>1411743.3319999999</v>
      </c>
      <c r="H361" s="13">
        <v>220779.823</v>
      </c>
      <c r="I361" s="13">
        <v>135448.28400000001</v>
      </c>
      <c r="J361" s="13">
        <v>178152.34599999999</v>
      </c>
      <c r="K361" s="13">
        <v>1426555.7390000001</v>
      </c>
      <c r="L361" s="13">
        <v>1537970.8870000001</v>
      </c>
      <c r="M361" s="13">
        <v>263562.74699999997</v>
      </c>
      <c r="N361" s="13">
        <v>290376.59100000001</v>
      </c>
      <c r="O361" s="13">
        <v>962446.80799999996</v>
      </c>
      <c r="P361" s="13">
        <v>2060.105</v>
      </c>
      <c r="Q361" s="13">
        <v>1291.03</v>
      </c>
    </row>
    <row r="362" spans="1:18" s="50" customFormat="1" x14ac:dyDescent="0.25">
      <c r="A362" s="15">
        <v>45744</v>
      </c>
      <c r="B362" s="15">
        <v>45758</v>
      </c>
      <c r="C362" s="15">
        <v>45771</v>
      </c>
      <c r="D362" s="13">
        <f t="shared" si="11"/>
        <v>12546091.83</v>
      </c>
      <c r="E362" s="13">
        <v>5032307.7209999999</v>
      </c>
      <c r="F362" s="13">
        <v>627492.53700000001</v>
      </c>
      <c r="G362" s="13">
        <v>1553224.1240000001</v>
      </c>
      <c r="H362" s="13">
        <v>235806.90599999999</v>
      </c>
      <c r="I362" s="13">
        <v>144892.01800000001</v>
      </c>
      <c r="J362" s="13">
        <v>190446.78400000001</v>
      </c>
      <c r="K362" s="13">
        <v>1452330.003</v>
      </c>
      <c r="L362" s="13">
        <v>1694133.335</v>
      </c>
      <c r="M362" s="13">
        <v>281425.15000000002</v>
      </c>
      <c r="N362" s="13">
        <v>329336.68699999998</v>
      </c>
      <c r="O362" s="13">
        <v>1001087.201</v>
      </c>
      <c r="P362" s="13">
        <v>2293.9569999999999</v>
      </c>
      <c r="Q362" s="13">
        <v>1315.4069999999999</v>
      </c>
    </row>
    <row r="363" spans="1:18" s="50" customFormat="1" x14ac:dyDescent="0.25">
      <c r="A363" s="17">
        <v>45758</v>
      </c>
      <c r="B363" s="17">
        <v>45772</v>
      </c>
      <c r="C363" s="17">
        <v>45785</v>
      </c>
      <c r="D363" s="18">
        <f t="shared" si="11"/>
        <v>12752850.634</v>
      </c>
      <c r="E363" s="18">
        <v>5192271.5480000004</v>
      </c>
      <c r="F363" s="18">
        <v>573220.14399999997</v>
      </c>
      <c r="G363" s="18">
        <v>1602299.4909999999</v>
      </c>
      <c r="H363" s="18">
        <v>241335.239</v>
      </c>
      <c r="I363" s="18">
        <v>147268.32</v>
      </c>
      <c r="J363" s="18">
        <v>196052.64600000001</v>
      </c>
      <c r="K363" s="18">
        <v>1455492.4850000001</v>
      </c>
      <c r="L363" s="18">
        <v>1738559.8729999999</v>
      </c>
      <c r="M363" s="18">
        <v>284683.12800000003</v>
      </c>
      <c r="N363" s="18">
        <v>342523.68199999997</v>
      </c>
      <c r="O363" s="18">
        <v>974591.36699999997</v>
      </c>
      <c r="P363" s="18">
        <v>3237.3040000000001</v>
      </c>
      <c r="Q363" s="18">
        <v>1315.4069999999999</v>
      </c>
    </row>
    <row r="364" spans="1:18" s="50" customFormat="1" ht="12.6" customHeight="1" x14ac:dyDescent="0.25"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x14ac:dyDescent="0.25">
      <c r="A365" s="14" t="s">
        <v>20</v>
      </c>
      <c r="B365" s="86" t="s">
        <v>23</v>
      </c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</row>
    <row r="366" spans="1:18" x14ac:dyDescent="0.25">
      <c r="B366" s="86" t="s">
        <v>24</v>
      </c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</row>
    <row r="367" spans="1:18" x14ac:dyDescent="0.25">
      <c r="B367" s="86" t="s">
        <v>22</v>
      </c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</row>
    <row r="368" spans="1:18" x14ac:dyDescent="0.25">
      <c r="B368" s="86" t="s">
        <v>21</v>
      </c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</row>
    <row r="369" spans="1:23" ht="15.75" customHeight="1" x14ac:dyDescent="0.25">
      <c r="B369" s="79" t="s">
        <v>37</v>
      </c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W369" s="2"/>
    </row>
    <row r="370" spans="1:23" x14ac:dyDescent="0.25">
      <c r="B370" s="86" t="s">
        <v>38</v>
      </c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</row>
    <row r="371" spans="1:23" s="50" customFormat="1" ht="19.5" customHeight="1" x14ac:dyDescent="0.25">
      <c r="B371" s="80" t="s">
        <v>39</v>
      </c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</row>
    <row r="372" spans="1:23" x14ac:dyDescent="0.25">
      <c r="A372" s="21"/>
      <c r="B372" s="87" t="s">
        <v>49</v>
      </c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</row>
    <row r="373" spans="1:23" x14ac:dyDescent="0.25"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23" ht="12.75" customHeight="1" x14ac:dyDescent="0.25">
      <c r="D374" s="21"/>
      <c r="E374" s="52"/>
      <c r="F374" s="48"/>
      <c r="G374" s="52"/>
      <c r="H374" s="52"/>
      <c r="I374" s="52"/>
      <c r="J374" s="4"/>
      <c r="K374" s="4"/>
      <c r="L374" s="4"/>
      <c r="M374" s="4"/>
      <c r="N374" s="4"/>
      <c r="O374" s="4"/>
      <c r="P374" s="4"/>
      <c r="Q374" s="4"/>
      <c r="R374" s="4"/>
    </row>
    <row r="375" spans="1:23" x14ac:dyDescent="0.25">
      <c r="D375" s="4"/>
      <c r="E375" s="21"/>
      <c r="F375" s="48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4"/>
      <c r="R375" s="4"/>
    </row>
    <row r="376" spans="1:23" x14ac:dyDescent="0.25">
      <c r="D376" s="52"/>
      <c r="E376" s="4"/>
      <c r="F376" s="7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23" x14ac:dyDescent="0.25">
      <c r="D377" s="4"/>
      <c r="E377" s="4"/>
      <c r="F377" s="4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4"/>
      <c r="R377" s="4"/>
    </row>
    <row r="378" spans="1:23" x14ac:dyDescent="0.25">
      <c r="D378" s="4"/>
      <c r="E378" s="54"/>
      <c r="F378" s="4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4"/>
      <c r="R378" s="4"/>
    </row>
    <row r="379" spans="1:23" x14ac:dyDescent="0.25">
      <c r="D379" s="4"/>
      <c r="E379" s="4"/>
      <c r="F379" s="4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4"/>
      <c r="R379" s="4"/>
    </row>
    <row r="380" spans="1:23" x14ac:dyDescent="0.25">
      <c r="D380" s="4"/>
      <c r="E380" s="4"/>
      <c r="F380" s="4"/>
      <c r="G380" s="71"/>
      <c r="H380" s="21"/>
      <c r="I380" s="21"/>
      <c r="J380" s="21"/>
      <c r="K380" s="21"/>
      <c r="L380" s="21"/>
      <c r="M380" s="21"/>
      <c r="N380" s="21"/>
      <c r="O380" s="21"/>
      <c r="P380" s="21"/>
      <c r="Q380" s="4"/>
      <c r="R380" s="4"/>
    </row>
    <row r="381" spans="1:23" x14ac:dyDescent="0.25">
      <c r="D381" s="4"/>
      <c r="E381" s="4"/>
      <c r="F381" s="4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4"/>
      <c r="R381" s="4"/>
    </row>
    <row r="382" spans="1:23" x14ac:dyDescent="0.25">
      <c r="D382" s="4"/>
      <c r="E382" s="4"/>
      <c r="F382" s="4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4"/>
      <c r="R382" s="4"/>
    </row>
    <row r="383" spans="1:23" x14ac:dyDescent="0.25">
      <c r="D383" s="4"/>
      <c r="E383" s="4"/>
      <c r="F383" s="4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4"/>
      <c r="R383" s="4"/>
    </row>
    <row r="384" spans="1:23" x14ac:dyDescent="0.25">
      <c r="D384" s="4"/>
      <c r="E384" s="4"/>
      <c r="F384" s="4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4"/>
      <c r="R384" s="4"/>
    </row>
    <row r="385" spans="4:18" x14ac:dyDescent="0.25">
      <c r="D385" s="4"/>
      <c r="E385" s="4"/>
      <c r="F385" s="4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4"/>
      <c r="R385" s="4"/>
    </row>
    <row r="386" spans="4:18" x14ac:dyDescent="0.25">
      <c r="D386" s="4"/>
      <c r="E386" s="4"/>
      <c r="F386" s="4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4"/>
      <c r="R386" s="4"/>
    </row>
    <row r="387" spans="4:18" x14ac:dyDescent="0.25">
      <c r="D387" s="4"/>
      <c r="E387" s="4"/>
      <c r="F387" s="4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4"/>
      <c r="R387" s="4"/>
    </row>
    <row r="388" spans="4:18" x14ac:dyDescent="0.25">
      <c r="D388" s="4"/>
      <c r="E388" s="4"/>
      <c r="F388" s="4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4"/>
      <c r="R388" s="4"/>
    </row>
    <row r="389" spans="4:18" x14ac:dyDescent="0.25">
      <c r="D389" s="4"/>
      <c r="E389" s="4"/>
      <c r="F389" s="4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4"/>
      <c r="R389" s="4"/>
    </row>
    <row r="390" spans="4:18" x14ac:dyDescent="0.25">
      <c r="D390" s="4"/>
      <c r="E390" s="4"/>
      <c r="F390" s="4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4"/>
      <c r="R390" s="4"/>
    </row>
    <row r="391" spans="4:18" x14ac:dyDescent="0.25">
      <c r="D391" s="4"/>
      <c r="E391" s="4"/>
      <c r="F391" s="4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4"/>
      <c r="R391" s="4"/>
    </row>
    <row r="392" spans="4:18" x14ac:dyDescent="0.25">
      <c r="D392" s="4"/>
      <c r="E392" s="4"/>
      <c r="F392" s="4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4"/>
      <c r="R392" s="4"/>
    </row>
    <row r="393" spans="4:18" x14ac:dyDescent="0.25">
      <c r="D393" s="4"/>
      <c r="E393" s="4"/>
      <c r="F393" s="4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4"/>
      <c r="R393" s="4"/>
    </row>
    <row r="394" spans="4:18" x14ac:dyDescent="0.25">
      <c r="D394" s="4"/>
      <c r="E394" s="4"/>
      <c r="F394" s="4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4"/>
      <c r="R394" s="4"/>
    </row>
    <row r="395" spans="4:18" x14ac:dyDescent="0.25">
      <c r="D395" s="4"/>
      <c r="E395" s="4"/>
      <c r="F395" s="4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4"/>
      <c r="R395" s="4"/>
    </row>
    <row r="396" spans="4:18" x14ac:dyDescent="0.25">
      <c r="D396" s="4"/>
      <c r="E396" s="4"/>
      <c r="F396" s="4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4"/>
      <c r="R396" s="4"/>
    </row>
    <row r="397" spans="4:18" x14ac:dyDescent="0.25">
      <c r="D397" s="4"/>
      <c r="E397" s="4"/>
      <c r="F397" s="4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4"/>
      <c r="R397" s="4"/>
    </row>
    <row r="398" spans="4:18" x14ac:dyDescent="0.25">
      <c r="D398" s="4"/>
      <c r="E398" s="4"/>
      <c r="F398" s="4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4"/>
      <c r="R398" s="4"/>
    </row>
    <row r="399" spans="4:18" x14ac:dyDescent="0.25">
      <c r="D399" s="4"/>
      <c r="E399" s="4"/>
      <c r="F399" s="4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4"/>
      <c r="R399" s="4"/>
    </row>
    <row r="400" spans="4:18" x14ac:dyDescent="0.25">
      <c r="D400" s="4"/>
      <c r="E400" s="4"/>
      <c r="F400" s="4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4"/>
      <c r="R400" s="4"/>
    </row>
    <row r="401" spans="4:18" x14ac:dyDescent="0.25">
      <c r="D401" s="4"/>
      <c r="E401" s="4"/>
      <c r="F401" s="4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4"/>
      <c r="R401" s="4"/>
    </row>
    <row r="402" spans="4:18" x14ac:dyDescent="0.25">
      <c r="D402" s="4"/>
      <c r="E402" s="4"/>
      <c r="F402" s="4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4"/>
      <c r="R402" s="4"/>
    </row>
    <row r="403" spans="4:18" x14ac:dyDescent="0.25">
      <c r="D403" s="4"/>
      <c r="E403" s="4"/>
      <c r="F403" s="4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4"/>
      <c r="R403" s="4"/>
    </row>
    <row r="404" spans="4:18" x14ac:dyDescent="0.25">
      <c r="D404" s="4"/>
      <c r="E404" s="4"/>
      <c r="F404" s="4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4"/>
      <c r="R404" s="4"/>
    </row>
    <row r="405" spans="4:18" x14ac:dyDescent="0.25">
      <c r="D405" s="4"/>
      <c r="E405" s="4"/>
      <c r="F405" s="4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4"/>
      <c r="R405" s="4"/>
    </row>
    <row r="406" spans="4:18" x14ac:dyDescent="0.25">
      <c r="D406" s="4"/>
      <c r="E406" s="4"/>
      <c r="F406" s="4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4"/>
      <c r="R406" s="4"/>
    </row>
    <row r="407" spans="4:18" x14ac:dyDescent="0.25">
      <c r="D407" s="4"/>
      <c r="E407" s="4"/>
      <c r="F407" s="4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4"/>
      <c r="R407" s="4"/>
    </row>
    <row r="408" spans="4:18" x14ac:dyDescent="0.25">
      <c r="D408" s="4"/>
      <c r="E408" s="4"/>
      <c r="F408" s="4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4"/>
      <c r="R408" s="4"/>
    </row>
    <row r="409" spans="4:18" x14ac:dyDescent="0.25">
      <c r="D409" s="4"/>
      <c r="E409" s="4"/>
      <c r="F409" s="4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4"/>
      <c r="R409" s="4"/>
    </row>
    <row r="410" spans="4:18" x14ac:dyDescent="0.25">
      <c r="D410" s="4"/>
      <c r="E410" s="4"/>
      <c r="F410" s="4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4"/>
      <c r="R410" s="4"/>
    </row>
    <row r="411" spans="4:18" x14ac:dyDescent="0.25">
      <c r="D411" s="4"/>
      <c r="E411" s="4"/>
      <c r="F411" s="4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4"/>
      <c r="R411" s="4"/>
    </row>
    <row r="412" spans="4:18" x14ac:dyDescent="0.25">
      <c r="D412" s="4"/>
      <c r="E412" s="4"/>
      <c r="F412" s="4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4"/>
      <c r="R412" s="4"/>
    </row>
    <row r="413" spans="4:18" x14ac:dyDescent="0.25">
      <c r="D413" s="4"/>
      <c r="E413" s="4"/>
      <c r="F413" s="4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4"/>
      <c r="R413" s="4"/>
    </row>
    <row r="414" spans="4:18" x14ac:dyDescent="0.25">
      <c r="D414" s="4"/>
      <c r="E414" s="4"/>
      <c r="F414" s="4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4"/>
      <c r="R414" s="4"/>
    </row>
    <row r="415" spans="4:18" x14ac:dyDescent="0.25">
      <c r="D415" s="4"/>
      <c r="E415" s="4"/>
      <c r="F415" s="4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4"/>
      <c r="R415" s="4"/>
    </row>
    <row r="416" spans="4:18" x14ac:dyDescent="0.25">
      <c r="D416" s="4"/>
      <c r="E416" s="4"/>
      <c r="F416" s="4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4"/>
      <c r="R416" s="4"/>
    </row>
    <row r="417" spans="4:21" x14ac:dyDescent="0.25">
      <c r="D417" s="4"/>
      <c r="E417" s="4"/>
      <c r="F417" s="4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4"/>
      <c r="R417" s="4"/>
    </row>
    <row r="418" spans="4:21" x14ac:dyDescent="0.25">
      <c r="D418" s="4"/>
      <c r="E418" s="4"/>
      <c r="F418" s="4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4"/>
      <c r="R418" s="4"/>
    </row>
    <row r="419" spans="4:21" x14ac:dyDescent="0.25">
      <c r="D419" s="4"/>
      <c r="E419" s="4"/>
      <c r="F419" s="4"/>
      <c r="G419" s="21"/>
      <c r="H419" s="21"/>
      <c r="I419" s="21"/>
      <c r="J419" s="21"/>
      <c r="K419" s="21"/>
      <c r="L419" s="21"/>
      <c r="M419" s="21"/>
      <c r="N419" s="21"/>
      <c r="O419" s="21"/>
      <c r="P419" s="4"/>
      <c r="Q419" s="4"/>
      <c r="R419" s="4"/>
    </row>
    <row r="420" spans="4:21" x14ac:dyDescent="0.25">
      <c r="D420" s="4"/>
      <c r="E420" s="4"/>
      <c r="G420" s="21"/>
      <c r="H420" s="21"/>
      <c r="I420" s="21"/>
      <c r="J420" s="21"/>
      <c r="K420" s="21"/>
      <c r="L420" s="21"/>
      <c r="M420" s="21"/>
      <c r="N420" s="21"/>
      <c r="O420" s="21"/>
      <c r="P420" s="4"/>
      <c r="Q420" s="4"/>
    </row>
    <row r="421" spans="4:21" x14ac:dyDescent="0.25">
      <c r="D421" s="4"/>
      <c r="E421" s="4"/>
      <c r="G421" s="21"/>
      <c r="H421" s="21"/>
      <c r="I421" s="21"/>
      <c r="J421" s="21"/>
      <c r="K421" s="21"/>
      <c r="L421" s="21"/>
      <c r="M421" s="21"/>
      <c r="N421" s="21"/>
      <c r="O421" s="21"/>
      <c r="P421" s="4"/>
      <c r="Q421" s="4"/>
    </row>
    <row r="422" spans="4:21" x14ac:dyDescent="0.25">
      <c r="D422" s="4"/>
      <c r="E422" s="4"/>
      <c r="G422" s="21"/>
      <c r="H422" s="21"/>
      <c r="I422" s="21"/>
      <c r="J422" s="21"/>
      <c r="K422" s="21"/>
      <c r="L422" s="21"/>
      <c r="M422" s="21"/>
      <c r="N422" s="21"/>
      <c r="O422" s="21"/>
      <c r="P422" s="4"/>
      <c r="Q422" s="4"/>
    </row>
    <row r="423" spans="4:21" x14ac:dyDescent="0.25">
      <c r="D423" s="4"/>
      <c r="E423" s="4"/>
      <c r="G423" s="21"/>
      <c r="H423" s="21"/>
      <c r="I423" s="21"/>
      <c r="J423" s="21"/>
      <c r="K423" s="21"/>
      <c r="L423" s="21"/>
      <c r="M423" s="21"/>
      <c r="N423" s="21"/>
      <c r="O423" s="21"/>
      <c r="P423" s="4"/>
      <c r="Q423" s="4"/>
    </row>
    <row r="424" spans="4:21" x14ac:dyDescent="0.25">
      <c r="D424" s="4"/>
      <c r="E424" s="4"/>
      <c r="G424" s="21"/>
      <c r="H424" s="21"/>
      <c r="I424" s="21"/>
      <c r="J424" s="21"/>
      <c r="K424" s="21"/>
      <c r="L424" s="21"/>
      <c r="M424" s="21"/>
      <c r="N424" s="21"/>
      <c r="O424" s="21"/>
      <c r="P424" s="4"/>
      <c r="Q424" s="4"/>
    </row>
    <row r="425" spans="4:21" x14ac:dyDescent="0.25">
      <c r="E425" s="4"/>
      <c r="H425" s="21"/>
      <c r="J425" s="21"/>
      <c r="K425" s="21"/>
      <c r="L425" s="21"/>
      <c r="M425" s="21"/>
      <c r="N425" s="21"/>
      <c r="O425" s="21"/>
      <c r="Q425" s="4"/>
    </row>
    <row r="426" spans="4:21" x14ac:dyDescent="0.25">
      <c r="E426" s="4"/>
      <c r="H426" s="21"/>
      <c r="J426" s="21"/>
      <c r="K426" s="21"/>
      <c r="L426" s="21"/>
      <c r="M426" s="21"/>
      <c r="N426" s="21"/>
      <c r="O426" s="21"/>
      <c r="Q426" s="4"/>
    </row>
    <row r="427" spans="4:21" x14ac:dyDescent="0.25">
      <c r="E427" s="4"/>
      <c r="H427" s="21"/>
      <c r="J427" s="21"/>
      <c r="K427" s="21"/>
      <c r="L427" s="21"/>
      <c r="M427" s="21"/>
      <c r="N427" s="21"/>
      <c r="O427" s="21"/>
      <c r="Q427" s="4"/>
    </row>
    <row r="428" spans="4:21" x14ac:dyDescent="0.25">
      <c r="E428" s="4"/>
      <c r="H428" s="21"/>
      <c r="K428" s="21"/>
      <c r="N428" s="21"/>
      <c r="Q428" s="4"/>
    </row>
    <row r="429" spans="4:21" x14ac:dyDescent="0.25">
      <c r="D429" s="21"/>
      <c r="G429" s="21"/>
      <c r="H429" s="21"/>
      <c r="I429" s="21"/>
      <c r="Q429" s="21"/>
      <c r="R429" s="21"/>
      <c r="S429" s="21"/>
    </row>
    <row r="430" spans="4:21" x14ac:dyDescent="0.25">
      <c r="D430" s="21"/>
      <c r="G430" s="21"/>
      <c r="H430" s="21"/>
      <c r="I430" s="21"/>
      <c r="Q430" s="21"/>
      <c r="R430" s="21"/>
      <c r="S430" s="21"/>
    </row>
    <row r="431" spans="4:21" x14ac:dyDescent="0.25">
      <c r="D431" s="21"/>
      <c r="G431" s="21"/>
      <c r="H431" s="21"/>
      <c r="I431" s="21"/>
      <c r="Q431" s="21"/>
      <c r="R431" s="21"/>
      <c r="S431" s="21"/>
    </row>
    <row r="432" spans="4:21" x14ac:dyDescent="0.25">
      <c r="D432" s="21"/>
      <c r="G432" s="21"/>
      <c r="H432" s="21"/>
      <c r="I432" s="21"/>
      <c r="J432" s="21"/>
      <c r="K432" s="21"/>
      <c r="Q432" s="21"/>
      <c r="R432" s="21"/>
      <c r="S432" s="21"/>
      <c r="T432" s="21"/>
      <c r="U432" s="21"/>
    </row>
    <row r="433" spans="4:21" x14ac:dyDescent="0.25">
      <c r="D433" s="21"/>
      <c r="G433" s="21"/>
      <c r="H433" s="21"/>
      <c r="I433" s="21"/>
      <c r="J433" s="21"/>
      <c r="K433" s="21"/>
      <c r="Q433" s="21"/>
      <c r="R433" s="21"/>
      <c r="S433" s="21"/>
      <c r="T433" s="21"/>
      <c r="U433" s="21"/>
    </row>
    <row r="434" spans="4:21" x14ac:dyDescent="0.25">
      <c r="D434" s="21"/>
      <c r="G434" s="21"/>
      <c r="H434" s="21"/>
      <c r="I434" s="21"/>
      <c r="J434" s="21"/>
      <c r="K434" s="21"/>
      <c r="Q434" s="21"/>
      <c r="R434" s="21"/>
      <c r="S434" s="21"/>
      <c r="T434" s="21"/>
      <c r="U434" s="21"/>
    </row>
    <row r="435" spans="4:21" x14ac:dyDescent="0.25">
      <c r="D435" s="21"/>
      <c r="G435" s="21"/>
      <c r="H435" s="21"/>
      <c r="I435" s="21"/>
      <c r="J435" s="21"/>
      <c r="K435" s="21"/>
      <c r="Q435" s="21"/>
      <c r="R435" s="21"/>
      <c r="S435" s="21"/>
      <c r="T435" s="21"/>
      <c r="U435" s="21"/>
    </row>
    <row r="436" spans="4:21" x14ac:dyDescent="0.25">
      <c r="D436" s="21"/>
      <c r="G436" s="21"/>
      <c r="H436" s="21"/>
      <c r="I436" s="21"/>
      <c r="J436" s="21"/>
      <c r="K436" s="21"/>
      <c r="Q436" s="21"/>
      <c r="R436" s="21"/>
      <c r="S436" s="21"/>
      <c r="T436" s="21"/>
      <c r="U436" s="21"/>
    </row>
    <row r="437" spans="4:21" x14ac:dyDescent="0.25">
      <c r="D437" s="21"/>
      <c r="G437" s="21"/>
      <c r="H437" s="21"/>
      <c r="I437" s="21"/>
      <c r="J437" s="21"/>
      <c r="K437" s="21"/>
      <c r="Q437" s="21"/>
      <c r="R437" s="21"/>
      <c r="S437" s="21"/>
      <c r="T437" s="21"/>
      <c r="U437" s="21"/>
    </row>
    <row r="438" spans="4:21" x14ac:dyDescent="0.25">
      <c r="D438" s="21"/>
      <c r="G438" s="21"/>
      <c r="H438" s="21"/>
      <c r="I438" s="21"/>
      <c r="J438" s="21"/>
      <c r="K438" s="21"/>
      <c r="Q438" s="21"/>
      <c r="R438" s="21"/>
      <c r="S438" s="21"/>
      <c r="T438" s="21"/>
      <c r="U438" s="21"/>
    </row>
    <row r="439" spans="4:21" x14ac:dyDescent="0.25">
      <c r="D439" s="21"/>
      <c r="G439" s="21"/>
      <c r="H439" s="21"/>
      <c r="I439" s="21"/>
      <c r="J439" s="21"/>
      <c r="K439" s="21"/>
      <c r="Q439" s="21"/>
      <c r="R439" s="21"/>
      <c r="S439" s="21"/>
      <c r="T439" s="21"/>
      <c r="U439" s="21"/>
    </row>
    <row r="440" spans="4:21" x14ac:dyDescent="0.25">
      <c r="D440" s="21"/>
      <c r="G440" s="21"/>
      <c r="H440" s="21"/>
      <c r="I440" s="21"/>
      <c r="J440" s="21"/>
      <c r="K440" s="21"/>
      <c r="Q440" s="21"/>
      <c r="R440" s="21"/>
      <c r="S440" s="21"/>
      <c r="T440" s="21"/>
      <c r="U440" s="21"/>
    </row>
    <row r="441" spans="4:21" x14ac:dyDescent="0.25">
      <c r="D441" s="21"/>
      <c r="G441" s="21"/>
      <c r="H441" s="21"/>
      <c r="I441" s="21"/>
      <c r="J441" s="21"/>
      <c r="K441" s="21"/>
      <c r="Q441" s="21"/>
      <c r="R441" s="21"/>
      <c r="S441" s="21"/>
      <c r="T441" s="21"/>
      <c r="U441" s="21"/>
    </row>
    <row r="442" spans="4:21" x14ac:dyDescent="0.25">
      <c r="D442" s="21"/>
      <c r="G442" s="21"/>
      <c r="H442" s="21"/>
      <c r="I442" s="21"/>
      <c r="J442" s="21"/>
      <c r="K442" s="21"/>
      <c r="Q442" s="21"/>
      <c r="R442" s="21"/>
      <c r="S442" s="21"/>
      <c r="T442" s="21"/>
      <c r="U442" s="21"/>
    </row>
    <row r="443" spans="4:21" x14ac:dyDescent="0.25">
      <c r="D443" s="21"/>
      <c r="G443" s="21"/>
      <c r="H443" s="21"/>
      <c r="I443" s="21"/>
      <c r="J443" s="21"/>
      <c r="K443" s="21"/>
      <c r="Q443" s="21"/>
      <c r="R443" s="21"/>
      <c r="S443" s="21"/>
      <c r="T443" s="21"/>
      <c r="U443" s="21"/>
    </row>
    <row r="444" spans="4:21" x14ac:dyDescent="0.25">
      <c r="D444" s="21"/>
      <c r="G444" s="21"/>
      <c r="H444" s="21"/>
      <c r="I444" s="21"/>
      <c r="J444" s="21"/>
      <c r="K444" s="21"/>
      <c r="Q444" s="21"/>
      <c r="R444" s="21"/>
      <c r="S444" s="21"/>
      <c r="T444" s="21"/>
      <c r="U444" s="21"/>
    </row>
    <row r="445" spans="4:21" x14ac:dyDescent="0.25">
      <c r="D445" s="21"/>
      <c r="G445" s="21"/>
      <c r="H445" s="21"/>
      <c r="I445" s="21"/>
      <c r="J445" s="21"/>
      <c r="K445" s="21"/>
      <c r="Q445" s="21"/>
      <c r="R445" s="21"/>
      <c r="S445" s="21"/>
      <c r="T445" s="21"/>
      <c r="U445" s="21"/>
    </row>
    <row r="446" spans="4:21" x14ac:dyDescent="0.25">
      <c r="D446" s="21"/>
      <c r="G446" s="21"/>
      <c r="H446" s="21"/>
      <c r="I446" s="21"/>
      <c r="J446" s="21"/>
      <c r="K446" s="21"/>
      <c r="Q446" s="21"/>
      <c r="R446" s="21"/>
      <c r="S446" s="21"/>
      <c r="T446" s="21"/>
      <c r="U446" s="21"/>
    </row>
    <row r="447" spans="4:21" x14ac:dyDescent="0.25">
      <c r="D447" s="21"/>
      <c r="G447" s="21"/>
      <c r="H447" s="21"/>
      <c r="I447" s="21"/>
      <c r="J447" s="21"/>
      <c r="K447" s="21"/>
      <c r="Q447" s="21"/>
      <c r="R447" s="21"/>
      <c r="S447" s="21"/>
      <c r="T447" s="21"/>
      <c r="U447" s="21"/>
    </row>
    <row r="448" spans="4:21" x14ac:dyDescent="0.25">
      <c r="D448" s="21"/>
      <c r="G448" s="21"/>
      <c r="H448" s="21"/>
      <c r="I448" s="21"/>
      <c r="J448" s="21"/>
      <c r="K448" s="21"/>
      <c r="Q448" s="21"/>
      <c r="R448" s="21"/>
      <c r="S448" s="21"/>
      <c r="T448" s="21"/>
      <c r="U448" s="21"/>
    </row>
    <row r="449" spans="4:26" x14ac:dyDescent="0.25">
      <c r="D449" s="21"/>
      <c r="G449" s="21"/>
      <c r="H449" s="21"/>
      <c r="I449" s="21"/>
      <c r="J449" s="21"/>
      <c r="K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4:26" x14ac:dyDescent="0.25">
      <c r="D450" s="21"/>
      <c r="G450" s="21"/>
      <c r="H450" s="21"/>
      <c r="I450" s="21"/>
      <c r="J450" s="21"/>
      <c r="K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4:26" x14ac:dyDescent="0.25">
      <c r="D451" s="21"/>
      <c r="G451" s="21"/>
      <c r="H451" s="21"/>
      <c r="I451" s="21"/>
      <c r="J451" s="21"/>
      <c r="K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4:26" x14ac:dyDescent="0.25">
      <c r="D452" s="21"/>
      <c r="G452" s="21"/>
      <c r="H452" s="21"/>
      <c r="I452" s="21"/>
      <c r="J452" s="21"/>
      <c r="K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4:26" x14ac:dyDescent="0.25">
      <c r="D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4:26" x14ac:dyDescent="0.25">
      <c r="D454" s="21"/>
      <c r="G454" s="21"/>
      <c r="H454" s="21"/>
      <c r="I454" s="21"/>
      <c r="J454" s="21"/>
      <c r="K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6" spans="4:26" x14ac:dyDescent="0.25">
      <c r="V456" s="21"/>
    </row>
  </sheetData>
  <mergeCells count="9">
    <mergeCell ref="B372:Q372"/>
    <mergeCell ref="A1:M1"/>
    <mergeCell ref="B369:Q369"/>
    <mergeCell ref="B365:Q365"/>
    <mergeCell ref="B366:Q366"/>
    <mergeCell ref="B367:Q367"/>
    <mergeCell ref="B368:Q368"/>
    <mergeCell ref="B370:Q370"/>
    <mergeCell ref="B371:Q371"/>
  </mergeCells>
  <printOptions horizontalCentered="1" verticalCentered="1"/>
  <pageMargins left="0.70866141732283472" right="0.70866141732283472" top="0.15748031496062992" bottom="0.15748031496062992" header="0.31496062992125984" footer="0.31496062992125984"/>
  <pageSetup paperSize="9" scale="27" fitToHeight="2" orientation="portrait" r:id="rId1"/>
  <rowBreaks count="1" manualBreakCount="1">
    <brk id="150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N369"/>
  <sheetViews>
    <sheetView showGridLines="0" zoomScaleNormal="100" zoomScaleSheetLayoutView="100" workbookViewId="0">
      <pane ySplit="2" topLeftCell="A351" activePane="bottomLeft" state="frozen"/>
      <selection activeCell="E373" sqref="E373"/>
      <selection pane="bottomLeft" activeCell="A357" sqref="A357:H357"/>
    </sheetView>
  </sheetViews>
  <sheetFormatPr defaultColWidth="9.140625" defaultRowHeight="15" x14ac:dyDescent="0.25"/>
  <cols>
    <col min="1" max="1" width="12.85546875" style="1" customWidth="1"/>
    <col min="2" max="3" width="11.85546875" style="1" customWidth="1"/>
    <col min="4" max="4" width="24.85546875" style="1" bestFit="1" customWidth="1"/>
    <col min="5" max="5" width="26.140625" style="50" customWidth="1"/>
    <col min="6" max="6" width="12.42578125" style="1" customWidth="1"/>
    <col min="7" max="8" width="13.85546875" style="1" customWidth="1"/>
    <col min="9" max="9" width="12.5703125" style="1" customWidth="1"/>
    <col min="10" max="10" width="12" style="1" bestFit="1" customWidth="1"/>
    <col min="11" max="12" width="9.140625" style="1"/>
    <col min="13" max="13" width="10.140625" style="1" bestFit="1" customWidth="1"/>
    <col min="14" max="14" width="18.85546875" style="1" bestFit="1" customWidth="1"/>
    <col min="15" max="15" width="13.140625" style="1" bestFit="1" customWidth="1"/>
    <col min="16" max="16384" width="9.140625" style="1"/>
  </cols>
  <sheetData>
    <row r="1" spans="1:8" x14ac:dyDescent="0.25">
      <c r="A1" s="3" t="s">
        <v>44</v>
      </c>
      <c r="B1" s="3"/>
      <c r="C1" s="3"/>
    </row>
    <row r="2" spans="1:8" ht="60" x14ac:dyDescent="0.25">
      <c r="A2" s="27" t="s">
        <v>9</v>
      </c>
      <c r="B2" s="28" t="s">
        <v>40</v>
      </c>
      <c r="C2" s="28" t="s">
        <v>41</v>
      </c>
      <c r="D2" s="28" t="s">
        <v>10</v>
      </c>
      <c r="E2" s="28" t="s">
        <v>17</v>
      </c>
      <c r="F2" s="28" t="s">
        <v>18</v>
      </c>
      <c r="G2" s="28" t="s">
        <v>34</v>
      </c>
      <c r="H2" s="29" t="s">
        <v>33</v>
      </c>
    </row>
    <row r="3" spans="1:8" x14ac:dyDescent="0.25">
      <c r="A3" s="30">
        <v>40802</v>
      </c>
      <c r="B3" s="15">
        <v>40816</v>
      </c>
      <c r="C3" s="15">
        <v>40829</v>
      </c>
      <c r="D3" s="12">
        <v>68183.596000000005</v>
      </c>
      <c r="E3" s="12">
        <v>62297.175759999998</v>
      </c>
      <c r="F3" s="12">
        <v>3030.6681690140845</v>
      </c>
      <c r="G3" s="12"/>
      <c r="H3" s="12"/>
    </row>
    <row r="4" spans="1:8" x14ac:dyDescent="0.25">
      <c r="A4" s="15">
        <v>40816</v>
      </c>
      <c r="B4" s="15">
        <v>40830</v>
      </c>
      <c r="C4" s="15">
        <v>40843</v>
      </c>
      <c r="D4" s="13">
        <v>65633.998000000007</v>
      </c>
      <c r="E4" s="13">
        <v>57034.873079999998</v>
      </c>
      <c r="F4" s="13">
        <v>4914.144041619249</v>
      </c>
      <c r="G4" s="13"/>
      <c r="H4" s="13"/>
    </row>
    <row r="5" spans="1:8" x14ac:dyDescent="0.25">
      <c r="A5" s="15">
        <v>40830</v>
      </c>
      <c r="B5" s="15">
        <v>40844</v>
      </c>
      <c r="C5" s="15">
        <v>40857</v>
      </c>
      <c r="D5" s="13">
        <v>65570.187999999995</v>
      </c>
      <c r="E5" s="13">
        <v>53128.519159999996</v>
      </c>
      <c r="F5" s="13">
        <v>6487.1534368314224</v>
      </c>
      <c r="G5" s="13"/>
      <c r="H5" s="13"/>
    </row>
    <row r="6" spans="1:8" x14ac:dyDescent="0.25">
      <c r="A6" s="15">
        <v>40844</v>
      </c>
      <c r="B6" s="15">
        <v>40858</v>
      </c>
      <c r="C6" s="15">
        <v>40871</v>
      </c>
      <c r="D6" s="13">
        <v>53493.341</v>
      </c>
      <c r="E6" s="13">
        <v>33675.333780000001</v>
      </c>
      <c r="F6" s="13">
        <v>10258.87702671843</v>
      </c>
      <c r="G6" s="13">
        <v>1341.7001598538479</v>
      </c>
      <c r="H6" s="13"/>
    </row>
    <row r="7" spans="1:8" x14ac:dyDescent="0.25">
      <c r="A7" s="15">
        <v>40858</v>
      </c>
      <c r="B7" s="15">
        <v>40872</v>
      </c>
      <c r="C7" s="15">
        <v>40885</v>
      </c>
      <c r="D7" s="13">
        <v>53902.942000000003</v>
      </c>
      <c r="E7" s="13">
        <v>31485.570829999997</v>
      </c>
      <c r="F7" s="13">
        <v>10526.873559341091</v>
      </c>
      <c r="G7" s="13">
        <v>1797.9063360881541</v>
      </c>
      <c r="H7" s="13"/>
    </row>
    <row r="8" spans="1:8" x14ac:dyDescent="0.25">
      <c r="A8" s="15">
        <v>40872</v>
      </c>
      <c r="B8" s="15">
        <v>40886</v>
      </c>
      <c r="C8" s="15">
        <v>40899</v>
      </c>
      <c r="D8" s="13">
        <v>54167.856</v>
      </c>
      <c r="E8" s="13">
        <v>32587.75531</v>
      </c>
      <c r="F8" s="13">
        <v>10428.775609230104</v>
      </c>
      <c r="G8" s="13">
        <v>1912.2735604916973</v>
      </c>
      <c r="H8" s="13"/>
    </row>
    <row r="9" spans="1:8" x14ac:dyDescent="0.25">
      <c r="A9" s="15">
        <v>40886</v>
      </c>
      <c r="B9" s="15">
        <v>40900</v>
      </c>
      <c r="C9" s="15">
        <v>40913</v>
      </c>
      <c r="D9" s="13">
        <v>53808.127999999997</v>
      </c>
      <c r="E9" s="13">
        <v>28562.579149999998</v>
      </c>
      <c r="F9" s="13">
        <v>10621.052458296752</v>
      </c>
      <c r="G9" s="13">
        <v>2527.4950614574186</v>
      </c>
      <c r="H9" s="13"/>
    </row>
    <row r="10" spans="1:8" x14ac:dyDescent="0.25">
      <c r="A10" s="15">
        <v>40900</v>
      </c>
      <c r="B10" s="15">
        <v>40914</v>
      </c>
      <c r="C10" s="15">
        <v>40927</v>
      </c>
      <c r="D10" s="13">
        <v>54387.218000000001</v>
      </c>
      <c r="E10" s="13">
        <v>31305.465239999998</v>
      </c>
      <c r="F10" s="13">
        <v>10384.675435326693</v>
      </c>
      <c r="G10" s="13">
        <v>2438.0563395281961</v>
      </c>
      <c r="H10" s="13"/>
    </row>
    <row r="11" spans="1:8" x14ac:dyDescent="0.25">
      <c r="A11" s="15">
        <v>40914</v>
      </c>
      <c r="B11" s="15">
        <v>40928</v>
      </c>
      <c r="C11" s="15">
        <v>40941</v>
      </c>
      <c r="D11" s="13">
        <v>53831.677000000003</v>
      </c>
      <c r="E11" s="13">
        <v>29433.919670000003</v>
      </c>
      <c r="F11" s="13">
        <v>10319.658411614006</v>
      </c>
      <c r="G11" s="13">
        <v>2421.0343723313408</v>
      </c>
      <c r="H11" s="13"/>
    </row>
    <row r="12" spans="1:8" x14ac:dyDescent="0.25">
      <c r="A12" s="15">
        <v>40928</v>
      </c>
      <c r="B12" s="15">
        <v>40942</v>
      </c>
      <c r="C12" s="15">
        <v>40955</v>
      </c>
      <c r="D12" s="13">
        <v>54093.487000000001</v>
      </c>
      <c r="E12" s="13">
        <v>31122.517960000001</v>
      </c>
      <c r="F12" s="13">
        <v>10580.035663338089</v>
      </c>
      <c r="G12" s="13">
        <v>2478.3150444420057</v>
      </c>
      <c r="H12" s="13"/>
    </row>
    <row r="13" spans="1:8" x14ac:dyDescent="0.25">
      <c r="A13" s="15">
        <v>40942</v>
      </c>
      <c r="B13" s="15">
        <v>40956</v>
      </c>
      <c r="C13" s="15">
        <v>40969</v>
      </c>
      <c r="D13" s="13">
        <v>53695.841</v>
      </c>
      <c r="E13" s="13">
        <v>28899.656230000001</v>
      </c>
      <c r="F13" s="13">
        <v>11017.671553248532</v>
      </c>
      <c r="G13" s="13">
        <v>2615.9608693172099</v>
      </c>
      <c r="H13" s="13"/>
    </row>
    <row r="14" spans="1:8" x14ac:dyDescent="0.25">
      <c r="A14" s="15">
        <v>40956</v>
      </c>
      <c r="B14" s="15">
        <v>40970</v>
      </c>
      <c r="C14" s="15">
        <v>40983</v>
      </c>
      <c r="D14" s="13">
        <v>54784.341999999997</v>
      </c>
      <c r="E14" s="13">
        <v>30773.010190000001</v>
      </c>
      <c r="F14" s="13">
        <v>11057.266915591763</v>
      </c>
      <c r="G14" s="13">
        <v>2632.3449875537453</v>
      </c>
      <c r="H14" s="13"/>
    </row>
    <row r="15" spans="1:8" x14ac:dyDescent="0.25">
      <c r="A15" s="15">
        <v>40970</v>
      </c>
      <c r="B15" s="15">
        <v>40984</v>
      </c>
      <c r="C15" s="15">
        <v>40997</v>
      </c>
      <c r="D15" s="13">
        <v>53694.279000000002</v>
      </c>
      <c r="E15" s="13">
        <v>29162.53441</v>
      </c>
      <c r="F15" s="13">
        <v>11129.876706044271</v>
      </c>
      <c r="G15" s="13">
        <v>2691.4273425851588</v>
      </c>
      <c r="H15" s="13"/>
    </row>
    <row r="16" spans="1:8" x14ac:dyDescent="0.25">
      <c r="A16" s="15">
        <v>40984</v>
      </c>
      <c r="B16" s="15">
        <v>40998</v>
      </c>
      <c r="C16" s="15">
        <v>41011</v>
      </c>
      <c r="D16" s="13">
        <v>54759.296999999999</v>
      </c>
      <c r="E16" s="13">
        <v>30854.977269999999</v>
      </c>
      <c r="F16" s="13">
        <v>10911.254316586832</v>
      </c>
      <c r="G16" s="13">
        <v>2702.3075637740894</v>
      </c>
      <c r="H16" s="13"/>
    </row>
    <row r="17" spans="1:8" x14ac:dyDescent="0.25">
      <c r="A17" s="15">
        <v>40998</v>
      </c>
      <c r="B17" s="15">
        <v>41012</v>
      </c>
      <c r="C17" s="15">
        <v>41025</v>
      </c>
      <c r="D17" s="13">
        <v>55111.466999999997</v>
      </c>
      <c r="E17" s="13">
        <v>25822.725340000001</v>
      </c>
      <c r="F17" s="13">
        <v>11170.174408759947</v>
      </c>
      <c r="G17" s="13">
        <v>5601.813512445673</v>
      </c>
      <c r="H17" s="13"/>
    </row>
    <row r="18" spans="1:8" x14ac:dyDescent="0.25">
      <c r="A18" s="15">
        <v>41012</v>
      </c>
      <c r="B18" s="15">
        <v>41026</v>
      </c>
      <c r="C18" s="15">
        <v>41039</v>
      </c>
      <c r="D18" s="13">
        <v>55689.252999999997</v>
      </c>
      <c r="E18" s="13">
        <v>25333.936309999997</v>
      </c>
      <c r="F18" s="13">
        <v>11051.537173476223</v>
      </c>
      <c r="G18" s="13">
        <v>5718.3712882339814</v>
      </c>
      <c r="H18" s="13"/>
    </row>
    <row r="19" spans="1:8" x14ac:dyDescent="0.25">
      <c r="A19" s="15">
        <v>41026</v>
      </c>
      <c r="B19" s="15">
        <v>41040</v>
      </c>
      <c r="C19" s="15">
        <v>41053</v>
      </c>
      <c r="D19" s="13">
        <v>55731.913999999997</v>
      </c>
      <c r="E19" s="13">
        <v>25712.47696</v>
      </c>
      <c r="F19" s="13">
        <v>11340.609596448288</v>
      </c>
      <c r="G19" s="13">
        <v>5758.7329956172798</v>
      </c>
      <c r="H19" s="13"/>
    </row>
    <row r="20" spans="1:8" x14ac:dyDescent="0.25">
      <c r="A20" s="15">
        <v>41040</v>
      </c>
      <c r="B20" s="15">
        <v>41054</v>
      </c>
      <c r="C20" s="15">
        <v>41067</v>
      </c>
      <c r="D20" s="13">
        <v>56212.862000000001</v>
      </c>
      <c r="E20" s="13">
        <v>26235.640309999999</v>
      </c>
      <c r="F20" s="13">
        <v>11294.478862154263</v>
      </c>
      <c r="G20" s="13">
        <v>5756.5583539464806</v>
      </c>
      <c r="H20" s="13"/>
    </row>
    <row r="21" spans="1:8" x14ac:dyDescent="0.25">
      <c r="A21" s="15">
        <v>41054</v>
      </c>
      <c r="B21" s="15">
        <v>41068</v>
      </c>
      <c r="C21" s="15">
        <v>41081</v>
      </c>
      <c r="D21" s="13">
        <v>56548.337</v>
      </c>
      <c r="E21" s="13">
        <v>24062.28082</v>
      </c>
      <c r="F21" s="13">
        <v>11985.354540511147</v>
      </c>
      <c r="G21" s="13">
        <v>5619.6949429037522</v>
      </c>
      <c r="H21" s="13"/>
    </row>
    <row r="22" spans="1:8" x14ac:dyDescent="0.25">
      <c r="A22" s="15">
        <v>41068</v>
      </c>
      <c r="B22" s="15">
        <v>41082</v>
      </c>
      <c r="C22" s="15">
        <v>41095</v>
      </c>
      <c r="D22" s="13">
        <v>56585.093999999997</v>
      </c>
      <c r="E22" s="13">
        <v>22090.07503</v>
      </c>
      <c r="F22" s="13">
        <v>14058.851206507998</v>
      </c>
      <c r="G22" s="13">
        <v>5725.5263013246858</v>
      </c>
      <c r="H22" s="13"/>
    </row>
    <row r="23" spans="1:8" x14ac:dyDescent="0.25">
      <c r="A23" s="15">
        <v>41082</v>
      </c>
      <c r="B23" s="15">
        <v>41096</v>
      </c>
      <c r="C23" s="15">
        <v>41109</v>
      </c>
      <c r="D23" s="13">
        <v>56952.086000000003</v>
      </c>
      <c r="E23" s="13">
        <v>18087.384590000001</v>
      </c>
      <c r="F23" s="13">
        <v>17219.043308186643</v>
      </c>
      <c r="G23" s="13">
        <v>5908.5571388656053</v>
      </c>
      <c r="H23" s="13"/>
    </row>
    <row r="24" spans="1:8" x14ac:dyDescent="0.25">
      <c r="A24" s="15">
        <v>41096</v>
      </c>
      <c r="B24" s="15">
        <v>41110</v>
      </c>
      <c r="C24" s="15">
        <v>41123</v>
      </c>
      <c r="D24" s="13">
        <v>56795.188999999998</v>
      </c>
      <c r="E24" s="13">
        <v>15248.19225</v>
      </c>
      <c r="F24" s="13">
        <v>17187.984784540207</v>
      </c>
      <c r="G24" s="13">
        <v>8162.6527099067089</v>
      </c>
      <c r="H24" s="13"/>
    </row>
    <row r="25" spans="1:8" x14ac:dyDescent="0.25">
      <c r="A25" s="15">
        <v>41110</v>
      </c>
      <c r="B25" s="15">
        <v>41124</v>
      </c>
      <c r="C25" s="15">
        <v>41137</v>
      </c>
      <c r="D25" s="13">
        <v>57902.578999999998</v>
      </c>
      <c r="E25" s="13">
        <v>13830.59475</v>
      </c>
      <c r="F25" s="13">
        <v>19912.41094821339</v>
      </c>
      <c r="G25" s="13">
        <v>8346.915658620881</v>
      </c>
      <c r="H25" s="13"/>
    </row>
    <row r="26" spans="1:8" x14ac:dyDescent="0.25">
      <c r="A26" s="15">
        <v>41124</v>
      </c>
      <c r="B26" s="15">
        <v>41138</v>
      </c>
      <c r="C26" s="15">
        <v>41151</v>
      </c>
      <c r="D26" s="13">
        <v>57193.267999999996</v>
      </c>
      <c r="E26" s="13">
        <v>13801.64191</v>
      </c>
      <c r="F26" s="13">
        <v>19535.420764416631</v>
      </c>
      <c r="G26" s="13">
        <v>8360.8666741171219</v>
      </c>
      <c r="H26" s="13"/>
    </row>
    <row r="27" spans="1:8" x14ac:dyDescent="0.25">
      <c r="A27" s="15">
        <v>41138</v>
      </c>
      <c r="B27" s="15">
        <v>41152</v>
      </c>
      <c r="C27" s="15">
        <v>41165</v>
      </c>
      <c r="D27" s="13">
        <v>59277.694000000003</v>
      </c>
      <c r="E27" s="13">
        <v>12369.12513</v>
      </c>
      <c r="F27" s="13">
        <v>22471.238265534201</v>
      </c>
      <c r="G27" s="13">
        <v>8579.6261734465807</v>
      </c>
      <c r="H27" s="13"/>
    </row>
    <row r="28" spans="1:8" x14ac:dyDescent="0.25">
      <c r="A28" s="15">
        <v>41152</v>
      </c>
      <c r="B28" s="15">
        <v>41166</v>
      </c>
      <c r="C28" s="15">
        <v>41179</v>
      </c>
      <c r="D28" s="13">
        <v>59236.436999999998</v>
      </c>
      <c r="E28" s="13">
        <v>11749.12456</v>
      </c>
      <c r="F28" s="13">
        <v>22970.179856115112</v>
      </c>
      <c r="G28" s="13">
        <v>9383.4637520752622</v>
      </c>
      <c r="H28" s="13"/>
    </row>
    <row r="29" spans="1:8" x14ac:dyDescent="0.25">
      <c r="A29" s="15">
        <v>41166</v>
      </c>
      <c r="B29" s="15">
        <v>41180</v>
      </c>
      <c r="C29" s="15">
        <v>41193</v>
      </c>
      <c r="D29" s="13">
        <v>60255.29</v>
      </c>
      <c r="E29" s="13">
        <v>11049.994619999999</v>
      </c>
      <c r="F29" s="13">
        <v>24043.523957581478</v>
      </c>
      <c r="G29" s="13">
        <v>9801.8438731886072</v>
      </c>
      <c r="H29" s="13"/>
    </row>
    <row r="30" spans="1:8" x14ac:dyDescent="0.25">
      <c r="A30" s="15">
        <v>41180</v>
      </c>
      <c r="B30" s="15">
        <v>41194</v>
      </c>
      <c r="C30" s="15">
        <v>41207</v>
      </c>
      <c r="D30" s="13">
        <v>60086.428</v>
      </c>
      <c r="E30" s="13">
        <v>12333.967789999999</v>
      </c>
      <c r="F30" s="13">
        <v>25928.396184062851</v>
      </c>
      <c r="G30" s="13">
        <v>10669.670033670034</v>
      </c>
      <c r="H30" s="13"/>
    </row>
    <row r="31" spans="1:8" x14ac:dyDescent="0.25">
      <c r="A31" s="15">
        <v>41194</v>
      </c>
      <c r="B31" s="15">
        <v>41208</v>
      </c>
      <c r="C31" s="15">
        <v>41221</v>
      </c>
      <c r="D31" s="13">
        <v>60902.116999999998</v>
      </c>
      <c r="E31" s="13">
        <v>11010.20333</v>
      </c>
      <c r="F31" s="13">
        <v>27091.928044791839</v>
      </c>
      <c r="G31" s="13">
        <v>10899.866954930982</v>
      </c>
      <c r="H31" s="13"/>
    </row>
    <row r="32" spans="1:8" x14ac:dyDescent="0.25">
      <c r="A32" s="15">
        <v>41208</v>
      </c>
      <c r="B32" s="15">
        <v>41222</v>
      </c>
      <c r="C32" s="15">
        <v>41235</v>
      </c>
      <c r="D32" s="13">
        <v>60617.93</v>
      </c>
      <c r="E32" s="13">
        <v>11540.01852</v>
      </c>
      <c r="F32" s="13">
        <v>28533.89506000558</v>
      </c>
      <c r="G32" s="13">
        <v>10955.875523304492</v>
      </c>
      <c r="H32" s="13"/>
    </row>
    <row r="33" spans="1:8" x14ac:dyDescent="0.25">
      <c r="A33" s="15">
        <v>41222</v>
      </c>
      <c r="B33" s="15">
        <v>41236</v>
      </c>
      <c r="C33" s="15">
        <v>41249</v>
      </c>
      <c r="D33" s="13">
        <v>60361.491000000002</v>
      </c>
      <c r="E33" s="13">
        <v>11170.16951</v>
      </c>
      <c r="F33" s="13">
        <v>28223.067394853893</v>
      </c>
      <c r="G33" s="13">
        <v>11078.405495186082</v>
      </c>
      <c r="H33" s="13"/>
    </row>
    <row r="34" spans="1:8" x14ac:dyDescent="0.25">
      <c r="A34" s="15">
        <v>41236</v>
      </c>
      <c r="B34" s="15">
        <v>41250</v>
      </c>
      <c r="C34" s="15">
        <v>41263</v>
      </c>
      <c r="D34" s="13">
        <v>61493.925999999999</v>
      </c>
      <c r="E34" s="13">
        <v>12363.61198</v>
      </c>
      <c r="F34" s="13">
        <v>28726.626835669216</v>
      </c>
      <c r="G34" s="13">
        <v>11131.627114858451</v>
      </c>
      <c r="H34" s="13"/>
    </row>
    <row r="35" spans="1:8" x14ac:dyDescent="0.25">
      <c r="A35" s="15">
        <v>41250</v>
      </c>
      <c r="B35" s="15">
        <v>41264</v>
      </c>
      <c r="C35" s="15">
        <v>41277</v>
      </c>
      <c r="D35" s="13">
        <v>61806.781000000003</v>
      </c>
      <c r="E35" s="13">
        <v>14553.264949999999</v>
      </c>
      <c r="F35" s="13">
        <v>27345.259700151608</v>
      </c>
      <c r="G35" s="13">
        <v>12566.920096580381</v>
      </c>
      <c r="H35" s="13"/>
    </row>
    <row r="36" spans="1:8" x14ac:dyDescent="0.25">
      <c r="A36" s="15">
        <v>41264</v>
      </c>
      <c r="B36" s="15">
        <v>41278</v>
      </c>
      <c r="C36" s="15">
        <v>41291</v>
      </c>
      <c r="D36" s="13">
        <v>63351.192999999999</v>
      </c>
      <c r="E36" s="13">
        <v>14323.124109999999</v>
      </c>
      <c r="F36" s="13">
        <v>28349.818161346619</v>
      </c>
      <c r="G36" s="13">
        <v>13341.798682654957</v>
      </c>
      <c r="H36" s="13"/>
    </row>
    <row r="37" spans="1:8" x14ac:dyDescent="0.25">
      <c r="A37" s="15">
        <v>41278</v>
      </c>
      <c r="B37" s="15">
        <v>41292</v>
      </c>
      <c r="C37" s="15">
        <v>41305</v>
      </c>
      <c r="D37" s="13">
        <v>63096.487999999998</v>
      </c>
      <c r="E37" s="13">
        <v>13598.678449999999</v>
      </c>
      <c r="F37" s="13">
        <v>29834.258559422411</v>
      </c>
      <c r="G37" s="13">
        <v>12654.18184894805</v>
      </c>
      <c r="H37" s="13"/>
    </row>
    <row r="38" spans="1:8" x14ac:dyDescent="0.25">
      <c r="A38" s="15">
        <v>41292</v>
      </c>
      <c r="B38" s="15">
        <v>41306</v>
      </c>
      <c r="C38" s="15">
        <v>41319</v>
      </c>
      <c r="D38" s="13">
        <v>62836.214999999997</v>
      </c>
      <c r="E38" s="13">
        <v>13518.126099999999</v>
      </c>
      <c r="F38" s="13">
        <v>30433.074814391777</v>
      </c>
      <c r="G38" s="13">
        <v>13000.894917190177</v>
      </c>
      <c r="H38" s="13"/>
    </row>
    <row r="39" spans="1:8" x14ac:dyDescent="0.25">
      <c r="A39" s="15">
        <v>41306</v>
      </c>
      <c r="B39" s="15">
        <v>41320</v>
      </c>
      <c r="C39" s="15">
        <v>41333</v>
      </c>
      <c r="D39" s="13">
        <v>63831.991999999998</v>
      </c>
      <c r="E39" s="13">
        <v>14124.437159999999</v>
      </c>
      <c r="F39" s="13">
        <v>30007.428766811037</v>
      </c>
      <c r="G39" s="13">
        <v>12946.846364258035</v>
      </c>
      <c r="H39" s="13"/>
    </row>
    <row r="40" spans="1:8" x14ac:dyDescent="0.25">
      <c r="A40" s="15">
        <v>41320</v>
      </c>
      <c r="B40" s="15">
        <v>41334</v>
      </c>
      <c r="C40" s="15">
        <v>41347</v>
      </c>
      <c r="D40" s="13">
        <v>64789.362000000001</v>
      </c>
      <c r="E40" s="13">
        <v>15544.227000000001</v>
      </c>
      <c r="F40" s="13">
        <v>29553.660253135818</v>
      </c>
      <c r="G40" s="13">
        <v>13411.551166354504</v>
      </c>
      <c r="H40" s="13"/>
    </row>
    <row r="41" spans="1:8" x14ac:dyDescent="0.25">
      <c r="A41" s="15">
        <v>41334</v>
      </c>
      <c r="B41" s="15">
        <v>41348</v>
      </c>
      <c r="C41" s="15">
        <v>41361</v>
      </c>
      <c r="D41" s="13">
        <v>66610.05</v>
      </c>
      <c r="E41" s="13">
        <v>16253.02411</v>
      </c>
      <c r="F41" s="13">
        <v>29786.072960178222</v>
      </c>
      <c r="G41" s="13">
        <v>13249.324422166526</v>
      </c>
      <c r="H41" s="13"/>
    </row>
    <row r="42" spans="1:8" x14ac:dyDescent="0.25">
      <c r="A42" s="15">
        <v>41348</v>
      </c>
      <c r="B42" s="15">
        <v>41362</v>
      </c>
      <c r="C42" s="15">
        <v>41375</v>
      </c>
      <c r="D42" s="13">
        <v>67562.945999999996</v>
      </c>
      <c r="E42" s="13">
        <v>16683.867130000002</v>
      </c>
      <c r="F42" s="13">
        <v>30360.175961167191</v>
      </c>
      <c r="G42" s="13">
        <v>13875.711842903635</v>
      </c>
      <c r="H42" s="13"/>
    </row>
    <row r="43" spans="1:8" x14ac:dyDescent="0.25">
      <c r="A43" s="15">
        <v>41362</v>
      </c>
      <c r="B43" s="15">
        <v>41376</v>
      </c>
      <c r="C43" s="15">
        <v>41389</v>
      </c>
      <c r="D43" s="13">
        <v>67622.835000000006</v>
      </c>
      <c r="E43" s="13">
        <v>14006.077080000001</v>
      </c>
      <c r="F43" s="13">
        <v>32700.277884986492</v>
      </c>
      <c r="G43" s="13">
        <v>14260.057341346419</v>
      </c>
      <c r="H43" s="13"/>
    </row>
    <row r="44" spans="1:8" x14ac:dyDescent="0.25">
      <c r="A44" s="15">
        <v>41376</v>
      </c>
      <c r="B44" s="15">
        <v>41390</v>
      </c>
      <c r="C44" s="15">
        <v>41403</v>
      </c>
      <c r="D44" s="13">
        <v>67105.987999999998</v>
      </c>
      <c r="E44" s="13">
        <v>13554.78233</v>
      </c>
      <c r="F44" s="13">
        <v>34074.53975012606</v>
      </c>
      <c r="G44" s="13">
        <v>14508.917586419408</v>
      </c>
      <c r="H44" s="13"/>
    </row>
    <row r="45" spans="1:8" x14ac:dyDescent="0.25">
      <c r="A45" s="15">
        <v>41390</v>
      </c>
      <c r="B45" s="15">
        <v>41404</v>
      </c>
      <c r="C45" s="15">
        <v>41417</v>
      </c>
      <c r="D45" s="13">
        <v>67992.027000000002</v>
      </c>
      <c r="E45" s="13">
        <v>16672.052329999999</v>
      </c>
      <c r="F45" s="13">
        <v>30942.310172317957</v>
      </c>
      <c r="G45" s="13">
        <v>14441.4424680378</v>
      </c>
      <c r="H45" s="13"/>
    </row>
    <row r="46" spans="1:8" x14ac:dyDescent="0.25">
      <c r="A46" s="15">
        <v>41404</v>
      </c>
      <c r="B46" s="15">
        <v>41418</v>
      </c>
      <c r="C46" s="15">
        <v>41431</v>
      </c>
      <c r="D46" s="13">
        <v>68103.539000000004</v>
      </c>
      <c r="E46" s="13">
        <v>18378.551739999999</v>
      </c>
      <c r="F46" s="13">
        <v>30464.713112464382</v>
      </c>
      <c r="G46" s="13">
        <v>14367.147885356724</v>
      </c>
      <c r="H46" s="13"/>
    </row>
    <row r="47" spans="1:8" x14ac:dyDescent="0.25">
      <c r="A47" s="15">
        <v>41418</v>
      </c>
      <c r="B47" s="15">
        <v>41432</v>
      </c>
      <c r="C47" s="15">
        <v>41445</v>
      </c>
      <c r="D47" s="13">
        <v>68838.100000000006</v>
      </c>
      <c r="E47" s="13">
        <v>20316.495170000002</v>
      </c>
      <c r="F47" s="13">
        <v>28359.870824775699</v>
      </c>
      <c r="G47" s="13">
        <v>13649.937844557346</v>
      </c>
      <c r="H47" s="13"/>
    </row>
    <row r="48" spans="1:8" x14ac:dyDescent="0.25">
      <c r="A48" s="15">
        <v>41432</v>
      </c>
      <c r="B48" s="15">
        <v>41446</v>
      </c>
      <c r="C48" s="15">
        <v>41459</v>
      </c>
      <c r="D48" s="13">
        <v>69325.63</v>
      </c>
      <c r="E48" s="13">
        <v>21175.847249999999</v>
      </c>
      <c r="F48" s="13">
        <v>27853.64262990456</v>
      </c>
      <c r="G48" s="13">
        <v>13684.625662778368</v>
      </c>
      <c r="H48" s="13"/>
    </row>
    <row r="49" spans="1:8" x14ac:dyDescent="0.25">
      <c r="A49" s="15">
        <v>41446</v>
      </c>
      <c r="B49" s="15">
        <v>41460</v>
      </c>
      <c r="C49" s="15">
        <v>41473</v>
      </c>
      <c r="D49" s="13">
        <v>70601.781000000003</v>
      </c>
      <c r="E49" s="13">
        <v>21545.482909999999</v>
      </c>
      <c r="F49" s="13">
        <v>28559.440676197431</v>
      </c>
      <c r="G49" s="13">
        <v>12349.325889596159</v>
      </c>
      <c r="H49" s="13"/>
    </row>
    <row r="50" spans="1:8" x14ac:dyDescent="0.25">
      <c r="A50" s="15">
        <v>41460</v>
      </c>
      <c r="B50" s="15">
        <v>41474</v>
      </c>
      <c r="C50" s="15">
        <v>41487</v>
      </c>
      <c r="D50" s="13">
        <v>70284.255000000005</v>
      </c>
      <c r="E50" s="13">
        <v>21746.685879999997</v>
      </c>
      <c r="F50" s="13">
        <v>27790.385484036546</v>
      </c>
      <c r="G50" s="13">
        <v>12890.129350169387</v>
      </c>
      <c r="H50" s="13"/>
    </row>
    <row r="51" spans="1:8" x14ac:dyDescent="0.25">
      <c r="A51" s="15">
        <v>41474</v>
      </c>
      <c r="B51" s="15">
        <v>41488</v>
      </c>
      <c r="C51" s="15">
        <v>41501</v>
      </c>
      <c r="D51" s="13">
        <v>70922.921000000002</v>
      </c>
      <c r="E51" s="13">
        <v>17787.839350000002</v>
      </c>
      <c r="F51" s="13">
        <v>30005.605301607178</v>
      </c>
      <c r="G51" s="13">
        <v>14644.908161135461</v>
      </c>
      <c r="H51" s="13"/>
    </row>
    <row r="52" spans="1:8" x14ac:dyDescent="0.25">
      <c r="A52" s="15">
        <v>41488</v>
      </c>
      <c r="B52" s="15">
        <v>41502</v>
      </c>
      <c r="C52" s="15">
        <v>41515</v>
      </c>
      <c r="D52" s="13">
        <v>70975.804999999993</v>
      </c>
      <c r="E52" s="13">
        <v>18296.625789999998</v>
      </c>
      <c r="F52" s="13">
        <v>30850.298988423168</v>
      </c>
      <c r="G52" s="13">
        <v>14481.479146209105</v>
      </c>
      <c r="H52" s="13"/>
    </row>
    <row r="53" spans="1:8" x14ac:dyDescent="0.25">
      <c r="A53" s="15">
        <v>41502</v>
      </c>
      <c r="B53" s="15">
        <v>41519</v>
      </c>
      <c r="C53" s="15">
        <v>41529</v>
      </c>
      <c r="D53" s="13">
        <v>71546.081999999995</v>
      </c>
      <c r="E53" s="13">
        <v>16649.207989999999</v>
      </c>
      <c r="F53" s="13">
        <v>32091.776852639221</v>
      </c>
      <c r="G53" s="13">
        <v>14898.339209789483</v>
      </c>
      <c r="H53" s="13"/>
    </row>
    <row r="54" spans="1:8" x14ac:dyDescent="0.25">
      <c r="A54" s="15">
        <v>41519</v>
      </c>
      <c r="B54" s="15">
        <v>41530</v>
      </c>
      <c r="C54" s="15">
        <v>41543</v>
      </c>
      <c r="D54" s="13">
        <v>71038.581000000006</v>
      </c>
      <c r="E54" s="13">
        <v>16938.999199999998</v>
      </c>
      <c r="F54" s="13">
        <v>30204.668649365183</v>
      </c>
      <c r="G54" s="13">
        <v>14419.084496765092</v>
      </c>
      <c r="H54" s="13"/>
    </row>
    <row r="55" spans="1:8" x14ac:dyDescent="0.25">
      <c r="A55" s="15">
        <v>41530</v>
      </c>
      <c r="B55" s="15">
        <v>41544</v>
      </c>
      <c r="C55" s="15">
        <v>41557</v>
      </c>
      <c r="D55" s="13">
        <v>72551.633000000002</v>
      </c>
      <c r="E55" s="13">
        <v>15982.767830000001</v>
      </c>
      <c r="F55" s="13">
        <v>31493.021912927299</v>
      </c>
      <c r="G55" s="13">
        <v>14906.5537030624</v>
      </c>
      <c r="H55" s="13"/>
    </row>
    <row r="56" spans="1:8" x14ac:dyDescent="0.25">
      <c r="A56" s="15">
        <v>41544</v>
      </c>
      <c r="B56" s="15">
        <v>41558</v>
      </c>
      <c r="C56" s="15">
        <v>41571</v>
      </c>
      <c r="D56" s="13">
        <v>73607.226999999999</v>
      </c>
      <c r="E56" s="13">
        <v>16903.14329</v>
      </c>
      <c r="F56" s="13">
        <v>32947.469754062498</v>
      </c>
      <c r="G56" s="13">
        <v>15211.770113800099</v>
      </c>
      <c r="H56" s="13"/>
    </row>
    <row r="57" spans="1:8" x14ac:dyDescent="0.25">
      <c r="A57" s="15">
        <v>41558</v>
      </c>
      <c r="B57" s="15">
        <v>41572</v>
      </c>
      <c r="C57" s="15">
        <v>41585</v>
      </c>
      <c r="D57" s="13">
        <v>74257.195999999996</v>
      </c>
      <c r="E57" s="13">
        <v>15560.316439999999</v>
      </c>
      <c r="F57" s="13">
        <v>33969.0441536789</v>
      </c>
      <c r="G57" s="13">
        <v>15048.213400758499</v>
      </c>
      <c r="H57" s="13"/>
    </row>
    <row r="58" spans="1:8" x14ac:dyDescent="0.25">
      <c r="A58" s="15">
        <v>41572</v>
      </c>
      <c r="B58" s="15">
        <v>41586</v>
      </c>
      <c r="C58" s="15">
        <v>41599</v>
      </c>
      <c r="D58" s="13">
        <v>73379.641000000003</v>
      </c>
      <c r="E58" s="13">
        <v>15762.93778</v>
      </c>
      <c r="F58" s="13">
        <v>34295.739151012102</v>
      </c>
      <c r="G58" s="13">
        <v>15383.819838056701</v>
      </c>
      <c r="H58" s="13"/>
    </row>
    <row r="59" spans="1:8" x14ac:dyDescent="0.25">
      <c r="A59" s="15">
        <v>41586</v>
      </c>
      <c r="B59" s="15">
        <v>41600</v>
      </c>
      <c r="C59" s="15">
        <v>41613</v>
      </c>
      <c r="D59" s="13">
        <v>73181.701000000001</v>
      </c>
      <c r="E59" s="13">
        <v>14346.394029999999</v>
      </c>
      <c r="F59" s="13">
        <v>33606.565663941699</v>
      </c>
      <c r="G59" s="13">
        <v>15418.8954003743</v>
      </c>
      <c r="H59" s="13"/>
    </row>
    <row r="60" spans="1:8" x14ac:dyDescent="0.25">
      <c r="A60" s="15">
        <v>41600</v>
      </c>
      <c r="B60" s="15">
        <v>41614</v>
      </c>
      <c r="C60" s="15">
        <v>41627</v>
      </c>
      <c r="D60" s="13">
        <v>73351.088000000003</v>
      </c>
      <c r="E60" s="13">
        <v>15037.08548</v>
      </c>
      <c r="F60" s="13">
        <v>34624.801037758298</v>
      </c>
      <c r="G60" s="13">
        <v>15103.742629205701</v>
      </c>
      <c r="H60" s="13"/>
    </row>
    <row r="61" spans="1:8" x14ac:dyDescent="0.25">
      <c r="A61" s="15">
        <v>41614</v>
      </c>
      <c r="B61" s="15">
        <v>41628</v>
      </c>
      <c r="C61" s="15">
        <v>41641</v>
      </c>
      <c r="D61" s="13">
        <v>73078.010999999999</v>
      </c>
      <c r="E61" s="13">
        <v>14516.401449999999</v>
      </c>
      <c r="F61" s="13">
        <v>33713.14</v>
      </c>
      <c r="G61" s="13">
        <v>14829.4414607948</v>
      </c>
      <c r="H61" s="13"/>
    </row>
    <row r="62" spans="1:8" x14ac:dyDescent="0.25">
      <c r="A62" s="15">
        <v>41628</v>
      </c>
      <c r="B62" s="15">
        <v>41642</v>
      </c>
      <c r="C62" s="15">
        <v>41655</v>
      </c>
      <c r="D62" s="13">
        <v>74247.668000000005</v>
      </c>
      <c r="E62" s="13">
        <v>16376.560509999999</v>
      </c>
      <c r="F62" s="13">
        <v>33274.034121894401</v>
      </c>
      <c r="G62" s="13">
        <v>14617.070069875799</v>
      </c>
      <c r="H62" s="13"/>
    </row>
    <row r="63" spans="1:8" x14ac:dyDescent="0.25">
      <c r="A63" s="15">
        <v>41642</v>
      </c>
      <c r="B63" s="15">
        <v>41656</v>
      </c>
      <c r="C63" s="15">
        <v>41669</v>
      </c>
      <c r="D63" s="13">
        <v>75223.077999999994</v>
      </c>
      <c r="E63" s="13">
        <v>17190.717989999997</v>
      </c>
      <c r="F63" s="13">
        <v>32374.572705866103</v>
      </c>
      <c r="G63" s="13">
        <v>14125.390459526701</v>
      </c>
      <c r="H63" s="13"/>
    </row>
    <row r="64" spans="1:8" x14ac:dyDescent="0.25">
      <c r="A64" s="15">
        <v>41656</v>
      </c>
      <c r="B64" s="15">
        <v>41670</v>
      </c>
      <c r="C64" s="15">
        <v>41683</v>
      </c>
      <c r="D64" s="13">
        <v>74025.616999999998</v>
      </c>
      <c r="E64" s="13">
        <v>14557.879779999999</v>
      </c>
      <c r="F64" s="13">
        <v>33290.172110607433</v>
      </c>
      <c r="G64" s="13">
        <v>13952.921577515866</v>
      </c>
      <c r="H64" s="13"/>
    </row>
    <row r="65" spans="1:8" x14ac:dyDescent="0.25">
      <c r="A65" s="15">
        <v>41670</v>
      </c>
      <c r="B65" s="15">
        <v>41684</v>
      </c>
      <c r="C65" s="15">
        <v>41697</v>
      </c>
      <c r="D65" s="13">
        <v>73364.270999999993</v>
      </c>
      <c r="E65" s="13">
        <v>13109.765579999999</v>
      </c>
      <c r="F65" s="13">
        <v>33609.792498354902</v>
      </c>
      <c r="G65" s="13">
        <v>14097.529282737441</v>
      </c>
      <c r="H65" s="13"/>
    </row>
    <row r="66" spans="1:8" x14ac:dyDescent="0.25">
      <c r="A66" s="15">
        <v>41684</v>
      </c>
      <c r="B66" s="15">
        <v>41698</v>
      </c>
      <c r="C66" s="15">
        <v>41711</v>
      </c>
      <c r="D66" s="13">
        <v>73492.213000000003</v>
      </c>
      <c r="E66" s="13">
        <v>13278.569670000001</v>
      </c>
      <c r="F66" s="13">
        <v>35073.286370040456</v>
      </c>
      <c r="G66" s="13">
        <v>15024.002181520702</v>
      </c>
      <c r="H66" s="13"/>
    </row>
    <row r="67" spans="1:8" x14ac:dyDescent="0.25">
      <c r="A67" s="15">
        <v>41698</v>
      </c>
      <c r="B67" s="15">
        <v>41712</v>
      </c>
      <c r="C67" s="15">
        <v>41725</v>
      </c>
      <c r="D67" s="13">
        <v>72706.047999999995</v>
      </c>
      <c r="E67" s="13">
        <v>11762.084480000001</v>
      </c>
      <c r="F67" s="13">
        <v>34499.703249485276</v>
      </c>
      <c r="G67" s="13">
        <v>14969.729657147971</v>
      </c>
      <c r="H67" s="13"/>
    </row>
    <row r="68" spans="1:8" x14ac:dyDescent="0.25">
      <c r="A68" s="15">
        <v>41712</v>
      </c>
      <c r="B68" s="15">
        <v>41726</v>
      </c>
      <c r="C68" s="15">
        <v>41739</v>
      </c>
      <c r="D68" s="13">
        <v>73880.286999999997</v>
      </c>
      <c r="E68" s="13">
        <v>12731.609550000001</v>
      </c>
      <c r="F68" s="13">
        <v>34941.587338787991</v>
      </c>
      <c r="G68" s="13">
        <v>15406.591889947851</v>
      </c>
      <c r="H68" s="13"/>
    </row>
    <row r="69" spans="1:8" x14ac:dyDescent="0.25">
      <c r="A69" s="15">
        <v>41726</v>
      </c>
      <c r="B69" s="15">
        <v>41740</v>
      </c>
      <c r="C69" s="15">
        <v>41753</v>
      </c>
      <c r="D69" s="13">
        <v>72540.808999999994</v>
      </c>
      <c r="E69" s="13">
        <v>11726.66591</v>
      </c>
      <c r="F69" s="13">
        <v>35711.154000000002</v>
      </c>
      <c r="G69" s="13">
        <v>14759.798000000001</v>
      </c>
      <c r="H69" s="13"/>
    </row>
    <row r="70" spans="1:8" x14ac:dyDescent="0.25">
      <c r="A70" s="15">
        <v>41740</v>
      </c>
      <c r="B70" s="15">
        <v>41754</v>
      </c>
      <c r="C70" s="15">
        <v>41767</v>
      </c>
      <c r="D70" s="13">
        <v>73039.282000000007</v>
      </c>
      <c r="E70" s="13">
        <v>12303.436949999999</v>
      </c>
      <c r="F70" s="13">
        <v>37947.928833420665</v>
      </c>
      <c r="G70" s="13">
        <v>15384.034678226077</v>
      </c>
      <c r="H70" s="13"/>
    </row>
    <row r="71" spans="1:8" x14ac:dyDescent="0.25">
      <c r="A71" s="15">
        <v>41754</v>
      </c>
      <c r="B71" s="15">
        <v>41768</v>
      </c>
      <c r="C71" s="15">
        <v>41781</v>
      </c>
      <c r="D71" s="13">
        <v>72905.311000000002</v>
      </c>
      <c r="E71" s="13">
        <v>11902.525449999999</v>
      </c>
      <c r="F71" s="13">
        <v>37409.261701033342</v>
      </c>
      <c r="G71" s="13">
        <v>14984.346565670734</v>
      </c>
      <c r="H71" s="13"/>
    </row>
    <row r="72" spans="1:8" x14ac:dyDescent="0.25">
      <c r="A72" s="15">
        <v>41768</v>
      </c>
      <c r="B72" s="15">
        <v>41782</v>
      </c>
      <c r="C72" s="15">
        <v>41795</v>
      </c>
      <c r="D72" s="13">
        <v>72840.084000000003</v>
      </c>
      <c r="E72" s="13">
        <v>11596.080689999999</v>
      </c>
      <c r="F72" s="13">
        <v>39002.168128795907</v>
      </c>
      <c r="G72" s="13">
        <v>15178.25412127639</v>
      </c>
      <c r="H72" s="13"/>
    </row>
    <row r="73" spans="1:8" x14ac:dyDescent="0.25">
      <c r="A73" s="15">
        <v>41782</v>
      </c>
      <c r="B73" s="15">
        <v>41796</v>
      </c>
      <c r="C73" s="15">
        <v>41809</v>
      </c>
      <c r="D73" s="13">
        <v>73006.091</v>
      </c>
      <c r="E73" s="13">
        <v>11469.63351</v>
      </c>
      <c r="F73" s="13">
        <v>38298.994311935377</v>
      </c>
      <c r="G73" s="13">
        <v>15345.504994981122</v>
      </c>
      <c r="H73" s="13"/>
    </row>
    <row r="74" spans="1:8" x14ac:dyDescent="0.25">
      <c r="A74" s="15">
        <v>41796</v>
      </c>
      <c r="B74" s="15">
        <v>41810</v>
      </c>
      <c r="C74" s="15">
        <v>41823</v>
      </c>
      <c r="D74" s="13">
        <v>73188.417000000001</v>
      </c>
      <c r="E74" s="13">
        <v>12351.933779999999</v>
      </c>
      <c r="F74" s="13">
        <v>37946.557757966613</v>
      </c>
      <c r="G74" s="13">
        <v>14997.356790591806</v>
      </c>
      <c r="H74" s="13"/>
    </row>
    <row r="75" spans="1:8" x14ac:dyDescent="0.25">
      <c r="A75" s="15">
        <v>41810</v>
      </c>
      <c r="B75" s="15">
        <v>41824</v>
      </c>
      <c r="C75" s="15">
        <v>41837</v>
      </c>
      <c r="D75" s="13">
        <v>74788.240000000005</v>
      </c>
      <c r="E75" s="13">
        <v>11478.597099999999</v>
      </c>
      <c r="F75" s="13">
        <v>38220.199360541665</v>
      </c>
      <c r="G75" s="13">
        <v>15737.718168139931</v>
      </c>
      <c r="H75" s="13"/>
    </row>
    <row r="76" spans="1:8" x14ac:dyDescent="0.25">
      <c r="A76" s="15">
        <v>41824</v>
      </c>
      <c r="B76" s="15">
        <v>41838</v>
      </c>
      <c r="C76" s="15">
        <v>41851</v>
      </c>
      <c r="D76" s="13">
        <v>75923.134999999995</v>
      </c>
      <c r="E76" s="13">
        <v>12990.976720000001</v>
      </c>
      <c r="F76" s="13">
        <v>39217.262362766254</v>
      </c>
      <c r="G76" s="13">
        <v>15755.319508304401</v>
      </c>
      <c r="H76" s="13"/>
    </row>
    <row r="77" spans="1:8" x14ac:dyDescent="0.25">
      <c r="A77" s="15">
        <v>41838</v>
      </c>
      <c r="B77" s="15">
        <v>41852</v>
      </c>
      <c r="C77" s="15">
        <v>41865</v>
      </c>
      <c r="D77" s="13">
        <v>76538.505000000005</v>
      </c>
      <c r="E77" s="13">
        <v>11864.31049</v>
      </c>
      <c r="F77" s="13">
        <v>39572.882522030064</v>
      </c>
      <c r="G77" s="13">
        <v>15633.189293624238</v>
      </c>
      <c r="H77" s="13"/>
    </row>
    <row r="78" spans="1:8" x14ac:dyDescent="0.25">
      <c r="A78" s="15">
        <v>41852</v>
      </c>
      <c r="B78" s="15">
        <v>41866</v>
      </c>
      <c r="C78" s="15">
        <v>41879</v>
      </c>
      <c r="D78" s="13">
        <v>78275.801000000007</v>
      </c>
      <c r="E78" s="13">
        <v>12744.1219</v>
      </c>
      <c r="F78" s="13">
        <v>40811.644869451084</v>
      </c>
      <c r="G78" s="13">
        <v>15897.028547321052</v>
      </c>
      <c r="H78" s="13"/>
    </row>
    <row r="79" spans="1:8" x14ac:dyDescent="0.25">
      <c r="A79" s="15">
        <v>41866</v>
      </c>
      <c r="B79" s="15">
        <v>41880</v>
      </c>
      <c r="C79" s="15">
        <v>41893</v>
      </c>
      <c r="D79" s="13">
        <v>76873.490000000005</v>
      </c>
      <c r="E79" s="13">
        <v>11720.806140000001</v>
      </c>
      <c r="F79" s="13">
        <v>39201.499000000003</v>
      </c>
      <c r="G79" s="13">
        <v>15749.033724544199</v>
      </c>
      <c r="H79" s="13"/>
    </row>
    <row r="80" spans="1:8" x14ac:dyDescent="0.25">
      <c r="A80" s="15">
        <v>41880</v>
      </c>
      <c r="B80" s="15">
        <v>41894</v>
      </c>
      <c r="C80" s="15">
        <v>41907</v>
      </c>
      <c r="D80" s="13">
        <v>76201.948000000004</v>
      </c>
      <c r="E80" s="13">
        <v>12978.699339999999</v>
      </c>
      <c r="F80" s="13">
        <v>37692.29381562514</v>
      </c>
      <c r="G80" s="13">
        <v>15601.26601600444</v>
      </c>
      <c r="H80" s="13"/>
    </row>
    <row r="81" spans="1:8" x14ac:dyDescent="0.25">
      <c r="A81" s="15">
        <v>41894</v>
      </c>
      <c r="B81" s="15">
        <v>41908</v>
      </c>
      <c r="C81" s="15">
        <v>41921</v>
      </c>
      <c r="D81" s="13">
        <v>77844.289000000004</v>
      </c>
      <c r="E81" s="13">
        <v>13036.625330000001</v>
      </c>
      <c r="F81" s="13">
        <v>38498.396734172595</v>
      </c>
      <c r="G81" s="13">
        <v>15494.995438788541</v>
      </c>
      <c r="H81" s="13"/>
    </row>
    <row r="82" spans="1:8" x14ac:dyDescent="0.25">
      <c r="A82" s="15">
        <v>41908</v>
      </c>
      <c r="B82" s="15">
        <v>41922</v>
      </c>
      <c r="C82" s="15">
        <v>41935</v>
      </c>
      <c r="D82" s="13">
        <v>79190.653999999995</v>
      </c>
      <c r="E82" s="13">
        <v>12993.53414</v>
      </c>
      <c r="F82" s="13">
        <v>38568.805711235647</v>
      </c>
      <c r="G82" s="13">
        <v>15276.85837558936</v>
      </c>
      <c r="H82" s="13"/>
    </row>
    <row r="83" spans="1:8" x14ac:dyDescent="0.25">
      <c r="A83" s="15">
        <v>41922</v>
      </c>
      <c r="B83" s="15">
        <v>41936</v>
      </c>
      <c r="C83" s="15">
        <v>41949</v>
      </c>
      <c r="D83" s="13">
        <v>78257.368000000002</v>
      </c>
      <c r="E83" s="13">
        <v>12858.127859999999</v>
      </c>
      <c r="F83" s="13">
        <v>37560.627999999997</v>
      </c>
      <c r="G83" s="13">
        <v>15249.284100474018</v>
      </c>
      <c r="H83" s="13"/>
    </row>
    <row r="84" spans="1:8" x14ac:dyDescent="0.25">
      <c r="A84" s="15">
        <v>41936</v>
      </c>
      <c r="B84" s="15">
        <v>41950</v>
      </c>
      <c r="C84" s="15">
        <v>41963</v>
      </c>
      <c r="D84" s="13">
        <v>77646.709000000003</v>
      </c>
      <c r="E84" s="13">
        <v>12760.53594</v>
      </c>
      <c r="F84" s="13">
        <v>37884.407665505234</v>
      </c>
      <c r="G84" s="13">
        <v>15224.808809077103</v>
      </c>
      <c r="H84" s="13"/>
    </row>
    <row r="85" spans="1:8" x14ac:dyDescent="0.25">
      <c r="A85" s="15">
        <v>41950</v>
      </c>
      <c r="B85" s="15">
        <v>41964</v>
      </c>
      <c r="C85" s="15">
        <v>41977</v>
      </c>
      <c r="D85" s="13">
        <v>77199.554999999993</v>
      </c>
      <c r="E85" s="13">
        <v>13150.510789999998</v>
      </c>
      <c r="F85" s="13">
        <v>37157.886273283599</v>
      </c>
      <c r="G85" s="13">
        <v>14795.1851520972</v>
      </c>
      <c r="H85" s="13"/>
    </row>
    <row r="86" spans="1:8" x14ac:dyDescent="0.25">
      <c r="A86" s="15">
        <v>41964</v>
      </c>
      <c r="B86" s="15">
        <v>41978</v>
      </c>
      <c r="C86" s="15">
        <v>41991</v>
      </c>
      <c r="D86" s="13">
        <v>77574.209000000003</v>
      </c>
      <c r="E86" s="13">
        <v>14494.08628</v>
      </c>
      <c r="F86" s="13">
        <v>36007.551642245824</v>
      </c>
      <c r="G86" s="13">
        <v>15000.185956893849</v>
      </c>
      <c r="H86" s="13"/>
    </row>
    <row r="87" spans="1:8" x14ac:dyDescent="0.25">
      <c r="A87" s="15">
        <v>41978</v>
      </c>
      <c r="B87" s="15">
        <v>41992</v>
      </c>
      <c r="C87" s="15">
        <v>42005</v>
      </c>
      <c r="D87" s="13">
        <v>79320.823999999993</v>
      </c>
      <c r="E87" s="13">
        <v>17490.202809999999</v>
      </c>
      <c r="F87" s="13">
        <v>33028.804274918395</v>
      </c>
      <c r="G87" s="13">
        <v>15101.714886195949</v>
      </c>
      <c r="H87" s="13"/>
    </row>
    <row r="88" spans="1:8" x14ac:dyDescent="0.25">
      <c r="A88" s="15">
        <v>41992</v>
      </c>
      <c r="B88" s="15">
        <v>42006</v>
      </c>
      <c r="C88" s="15">
        <v>42019</v>
      </c>
      <c r="D88" s="13">
        <v>82162.164000000004</v>
      </c>
      <c r="E88" s="13">
        <v>16805.266039999999</v>
      </c>
      <c r="F88" s="13">
        <v>34539.796814464054</v>
      </c>
      <c r="G88" s="13">
        <v>15043.481274214377</v>
      </c>
      <c r="H88" s="13"/>
    </row>
    <row r="89" spans="1:8" x14ac:dyDescent="0.25">
      <c r="A89" s="15">
        <v>42006</v>
      </c>
      <c r="B89" s="15">
        <v>42020</v>
      </c>
      <c r="C89" s="15">
        <v>42033</v>
      </c>
      <c r="D89" s="13">
        <v>82765.156000000003</v>
      </c>
      <c r="E89" s="13">
        <v>16022.640579999999</v>
      </c>
      <c r="F89" s="13">
        <v>35648.985999999997</v>
      </c>
      <c r="G89" s="13">
        <v>15276.983540332631</v>
      </c>
      <c r="H89" s="13"/>
    </row>
    <row r="90" spans="1:8" x14ac:dyDescent="0.25">
      <c r="A90" s="15">
        <v>42020</v>
      </c>
      <c r="B90" s="15">
        <v>42034</v>
      </c>
      <c r="C90" s="15">
        <v>42047</v>
      </c>
      <c r="D90" s="13">
        <v>83120.824999999997</v>
      </c>
      <c r="E90" s="13">
        <v>17441.038530000002</v>
      </c>
      <c r="F90" s="13">
        <v>36082.705000000002</v>
      </c>
      <c r="G90" s="13">
        <v>15580.117966934176</v>
      </c>
      <c r="H90" s="13"/>
    </row>
    <row r="91" spans="1:8" x14ac:dyDescent="0.25">
      <c r="A91" s="15">
        <v>42034</v>
      </c>
      <c r="B91" s="15">
        <v>42048</v>
      </c>
      <c r="C91" s="15">
        <v>42061</v>
      </c>
      <c r="D91" s="13">
        <v>83252.282999999996</v>
      </c>
      <c r="E91" s="13">
        <v>15883.986849999999</v>
      </c>
      <c r="F91" s="13">
        <v>34532.415000000001</v>
      </c>
      <c r="G91" s="13">
        <v>15215.090575938033</v>
      </c>
      <c r="H91" s="13"/>
    </row>
    <row r="92" spans="1:8" x14ac:dyDescent="0.25">
      <c r="A92" s="15">
        <v>42048</v>
      </c>
      <c r="B92" s="15">
        <v>42062</v>
      </c>
      <c r="C92" s="15">
        <v>42075</v>
      </c>
      <c r="D92" s="13">
        <v>84638.264999999999</v>
      </c>
      <c r="E92" s="13">
        <v>16228.60326</v>
      </c>
      <c r="F92" s="13">
        <v>32438.665000000001</v>
      </c>
      <c r="G92" s="13">
        <v>14869.729566824721</v>
      </c>
      <c r="H92" s="13"/>
    </row>
    <row r="93" spans="1:8" x14ac:dyDescent="0.25">
      <c r="A93" s="15">
        <v>42062</v>
      </c>
      <c r="B93" s="15">
        <v>42076</v>
      </c>
      <c r="C93" s="15">
        <v>42089</v>
      </c>
      <c r="D93" s="13">
        <v>84051.542000000001</v>
      </c>
      <c r="E93" s="13">
        <v>15102.276</v>
      </c>
      <c r="F93" s="13">
        <v>31111.481</v>
      </c>
      <c r="G93" s="13">
        <v>14980.43653675462</v>
      </c>
      <c r="H93" s="13"/>
    </row>
    <row r="94" spans="1:8" x14ac:dyDescent="0.25">
      <c r="A94" s="15">
        <v>42076</v>
      </c>
      <c r="B94" s="15">
        <v>42090</v>
      </c>
      <c r="C94" s="15">
        <v>42103</v>
      </c>
      <c r="D94" s="13">
        <v>84508.118000000002</v>
      </c>
      <c r="E94" s="13">
        <v>15304.362359999999</v>
      </c>
      <c r="F94" s="13">
        <v>30501.349000000002</v>
      </c>
      <c r="G94" s="13">
        <v>14426.208428290007</v>
      </c>
      <c r="H94" s="13"/>
    </row>
    <row r="95" spans="1:8" x14ac:dyDescent="0.25">
      <c r="A95" s="15">
        <v>42090</v>
      </c>
      <c r="B95" s="15">
        <v>42104</v>
      </c>
      <c r="C95" s="15">
        <v>42117</v>
      </c>
      <c r="D95" s="13">
        <v>84331.63</v>
      </c>
      <c r="E95" s="13">
        <v>14068.25764</v>
      </c>
      <c r="F95" s="13">
        <v>30485.737000000001</v>
      </c>
      <c r="G95" s="13">
        <v>14532.182420460671</v>
      </c>
      <c r="H95" s="13"/>
    </row>
    <row r="96" spans="1:8" x14ac:dyDescent="0.25">
      <c r="A96" s="15">
        <v>42104</v>
      </c>
      <c r="B96" s="15">
        <v>42118</v>
      </c>
      <c r="C96" s="15">
        <v>42131</v>
      </c>
      <c r="D96" s="13">
        <v>84711.496999999988</v>
      </c>
      <c r="E96" s="13">
        <v>14525.33114</v>
      </c>
      <c r="F96" s="13">
        <v>30755.896000000001</v>
      </c>
      <c r="G96" s="13">
        <v>14780.137234493661</v>
      </c>
      <c r="H96" s="13"/>
    </row>
    <row r="97" spans="1:8" x14ac:dyDescent="0.25">
      <c r="A97" s="15">
        <v>42118</v>
      </c>
      <c r="B97" s="15">
        <v>42132</v>
      </c>
      <c r="C97" s="15">
        <v>42145</v>
      </c>
      <c r="D97" s="13">
        <v>85021.17300000001</v>
      </c>
      <c r="E97" s="13">
        <v>13627.316720000001</v>
      </c>
      <c r="F97" s="13">
        <v>29937.042000000001</v>
      </c>
      <c r="G97" s="13">
        <v>14516.280367573199</v>
      </c>
      <c r="H97" s="13"/>
    </row>
    <row r="98" spans="1:8" x14ac:dyDescent="0.25">
      <c r="A98" s="15">
        <v>42132</v>
      </c>
      <c r="B98" s="15">
        <v>42146</v>
      </c>
      <c r="C98" s="15">
        <v>42159</v>
      </c>
      <c r="D98" s="13">
        <v>84354.673999999999</v>
      </c>
      <c r="E98" s="13">
        <v>13261</v>
      </c>
      <c r="F98" s="13">
        <v>29775.701000000001</v>
      </c>
      <c r="G98" s="13">
        <v>14307.128518518501</v>
      </c>
      <c r="H98" s="13"/>
    </row>
    <row r="99" spans="1:8" x14ac:dyDescent="0.25">
      <c r="A99" s="15">
        <v>42146</v>
      </c>
      <c r="B99" s="15">
        <v>42160</v>
      </c>
      <c r="C99" s="15">
        <v>42173</v>
      </c>
      <c r="D99" s="13">
        <v>83153.095000000001</v>
      </c>
      <c r="E99" s="13">
        <v>13337.02216</v>
      </c>
      <c r="F99" s="13">
        <v>30741.217000000001</v>
      </c>
      <c r="G99" s="13">
        <v>14849.2590284</v>
      </c>
      <c r="H99" s="13"/>
    </row>
    <row r="100" spans="1:8" x14ac:dyDescent="0.25">
      <c r="A100" s="15">
        <v>42160</v>
      </c>
      <c r="B100" s="15">
        <v>42174</v>
      </c>
      <c r="C100" s="15">
        <v>42187</v>
      </c>
      <c r="D100" s="13">
        <v>83370.061000000002</v>
      </c>
      <c r="E100" s="13">
        <v>14096.962160000001</v>
      </c>
      <c r="F100" s="13">
        <v>29374.6</v>
      </c>
      <c r="G100" s="13">
        <v>14002.181872191901</v>
      </c>
      <c r="H100" s="13"/>
    </row>
    <row r="101" spans="1:8" x14ac:dyDescent="0.25">
      <c r="A101" s="15">
        <v>42174</v>
      </c>
      <c r="B101" s="15">
        <v>42188</v>
      </c>
      <c r="C101" s="15">
        <v>42201</v>
      </c>
      <c r="D101" s="13">
        <v>83967.650999999998</v>
      </c>
      <c r="E101" s="13">
        <v>13923.87557</v>
      </c>
      <c r="F101" s="13">
        <v>29228.923000000003</v>
      </c>
      <c r="G101" s="13">
        <v>13970.038346668633</v>
      </c>
      <c r="H101" s="13"/>
    </row>
    <row r="102" spans="1:8" x14ac:dyDescent="0.25">
      <c r="A102" s="15">
        <v>42188</v>
      </c>
      <c r="B102" s="15">
        <v>42205</v>
      </c>
      <c r="C102" s="15">
        <v>42215</v>
      </c>
      <c r="D102" s="13">
        <v>82572.418999999994</v>
      </c>
      <c r="E102" s="13">
        <v>14234.185460000001</v>
      </c>
      <c r="F102" s="13">
        <v>29089.383000000002</v>
      </c>
      <c r="G102" s="13">
        <v>13690.7450355661</v>
      </c>
      <c r="H102" s="13"/>
    </row>
    <row r="103" spans="1:8" x14ac:dyDescent="0.25">
      <c r="A103" s="15">
        <v>42205</v>
      </c>
      <c r="B103" s="15">
        <v>42216</v>
      </c>
      <c r="C103" s="15">
        <v>42229</v>
      </c>
      <c r="D103" s="13">
        <v>83546.854999999996</v>
      </c>
      <c r="E103" s="13">
        <v>12765.658030000001</v>
      </c>
      <c r="F103" s="13">
        <v>30675.213</v>
      </c>
      <c r="G103" s="13">
        <v>14508.2389293297</v>
      </c>
      <c r="H103" s="13"/>
    </row>
    <row r="104" spans="1:8" x14ac:dyDescent="0.25">
      <c r="A104" s="15">
        <v>42216</v>
      </c>
      <c r="B104" s="15">
        <v>42230</v>
      </c>
      <c r="C104" s="15">
        <v>42243</v>
      </c>
      <c r="D104" s="13">
        <v>86562.91</v>
      </c>
      <c r="E104" s="13">
        <v>13829.64445</v>
      </c>
      <c r="F104" s="13">
        <v>30688.756000000001</v>
      </c>
      <c r="G104" s="13">
        <v>13928.965218958399</v>
      </c>
      <c r="H104" s="13"/>
    </row>
    <row r="105" spans="1:8" x14ac:dyDescent="0.25">
      <c r="A105" s="15">
        <v>42230</v>
      </c>
      <c r="B105" s="15">
        <v>42244</v>
      </c>
      <c r="C105" s="15">
        <v>42257</v>
      </c>
      <c r="D105" s="13">
        <v>86008.101999999999</v>
      </c>
      <c r="E105" s="13">
        <v>12535.92274</v>
      </c>
      <c r="F105" s="13">
        <v>30683.097000000002</v>
      </c>
      <c r="G105" s="13">
        <v>14229.344951491197</v>
      </c>
      <c r="H105" s="13"/>
    </row>
    <row r="106" spans="1:8" x14ac:dyDescent="0.25">
      <c r="A106" s="15">
        <v>42244</v>
      </c>
      <c r="B106" s="15">
        <v>42258</v>
      </c>
      <c r="C106" s="15">
        <v>42271</v>
      </c>
      <c r="D106" s="13">
        <v>84940.752999999997</v>
      </c>
      <c r="E106" s="13">
        <v>12568.694030000001</v>
      </c>
      <c r="F106" s="13">
        <v>28988.802</v>
      </c>
      <c r="G106" s="13">
        <v>13718.797553180522</v>
      </c>
      <c r="H106" s="13"/>
    </row>
    <row r="107" spans="1:8" x14ac:dyDescent="0.25">
      <c r="A107" s="15">
        <v>42258</v>
      </c>
      <c r="B107" s="15">
        <v>42275</v>
      </c>
      <c r="C107" s="15">
        <v>42285</v>
      </c>
      <c r="D107" s="13">
        <v>87635.679000000004</v>
      </c>
      <c r="E107" s="13">
        <v>12466.47458</v>
      </c>
      <c r="F107" s="13">
        <v>28813.388999999999</v>
      </c>
      <c r="G107" s="13">
        <v>13461.3801723571</v>
      </c>
      <c r="H107" s="13"/>
    </row>
    <row r="108" spans="1:8" x14ac:dyDescent="0.25">
      <c r="A108" s="15">
        <v>42270</v>
      </c>
      <c r="B108" s="15">
        <v>42286</v>
      </c>
      <c r="C108" s="15">
        <v>42299</v>
      </c>
      <c r="D108" s="13">
        <v>86806.455000000002</v>
      </c>
      <c r="E108" s="13">
        <v>12541.694289999999</v>
      </c>
      <c r="F108" s="13">
        <v>28775.332999999999</v>
      </c>
      <c r="G108" s="13">
        <v>13551.38481492567</v>
      </c>
      <c r="H108" s="13"/>
    </row>
    <row r="109" spans="1:8" x14ac:dyDescent="0.25">
      <c r="A109" s="15">
        <v>42286</v>
      </c>
      <c r="B109" s="15">
        <v>42300</v>
      </c>
      <c r="C109" s="15">
        <v>42313</v>
      </c>
      <c r="D109" s="13">
        <v>86369.67</v>
      </c>
      <c r="E109" s="13">
        <v>12743.98681</v>
      </c>
      <c r="F109" s="13">
        <v>29313.768</v>
      </c>
      <c r="G109" s="13">
        <v>13695.556426065299</v>
      </c>
      <c r="H109" s="13"/>
    </row>
    <row r="110" spans="1:8" x14ac:dyDescent="0.25">
      <c r="A110" s="15">
        <v>42300</v>
      </c>
      <c r="B110" s="15">
        <v>42314</v>
      </c>
      <c r="C110" s="15">
        <v>42327</v>
      </c>
      <c r="D110" s="13">
        <v>86358.91</v>
      </c>
      <c r="E110" s="13">
        <v>12298.80515</v>
      </c>
      <c r="F110" s="13">
        <v>30013.714</v>
      </c>
      <c r="G110" s="13">
        <v>13846.4645205954</v>
      </c>
      <c r="H110" s="13"/>
    </row>
    <row r="111" spans="1:8" x14ac:dyDescent="0.25">
      <c r="A111" s="15">
        <v>42314</v>
      </c>
      <c r="B111" s="15">
        <v>42328</v>
      </c>
      <c r="C111" s="15">
        <v>42341</v>
      </c>
      <c r="D111" s="13">
        <v>86209.718999999997</v>
      </c>
      <c r="E111" s="13">
        <v>13393.038210000001</v>
      </c>
      <c r="F111" s="13">
        <v>29413.52</v>
      </c>
      <c r="G111" s="13">
        <v>13678.6226855888</v>
      </c>
      <c r="H111" s="13"/>
    </row>
    <row r="112" spans="1:8" x14ac:dyDescent="0.25">
      <c r="A112" s="15">
        <v>42328</v>
      </c>
      <c r="B112" s="15">
        <v>42342</v>
      </c>
      <c r="C112" s="15">
        <v>42355</v>
      </c>
      <c r="D112" s="13">
        <v>86078.368000000002</v>
      </c>
      <c r="E112" s="13">
        <v>14372.03875</v>
      </c>
      <c r="F112" s="13">
        <v>28386.917000000001</v>
      </c>
      <c r="G112" s="13">
        <v>13528.239093046928</v>
      </c>
      <c r="H112" s="13"/>
    </row>
    <row r="113" spans="1:8" x14ac:dyDescent="0.25">
      <c r="A113" s="15">
        <v>42342</v>
      </c>
      <c r="B113" s="15">
        <v>42356</v>
      </c>
      <c r="C113" s="15">
        <v>42372</v>
      </c>
      <c r="D113" s="13">
        <v>86587.146000000008</v>
      </c>
      <c r="E113" s="13">
        <v>16266.7428</v>
      </c>
      <c r="F113" s="13">
        <v>26598.638000000003</v>
      </c>
      <c r="G113" s="13">
        <v>13320.570208926218</v>
      </c>
      <c r="H113" s="13"/>
    </row>
    <row r="114" spans="1:8" x14ac:dyDescent="0.25">
      <c r="A114" s="15">
        <v>42356</v>
      </c>
      <c r="B114" s="15">
        <v>42373</v>
      </c>
      <c r="C114" s="15">
        <v>42383</v>
      </c>
      <c r="D114" s="13">
        <v>88073.573000000004</v>
      </c>
      <c r="E114" s="13">
        <v>16702.30716</v>
      </c>
      <c r="F114" s="13">
        <v>25798.284</v>
      </c>
      <c r="G114" s="13">
        <v>13264.332844324699</v>
      </c>
      <c r="H114" s="13"/>
    </row>
    <row r="115" spans="1:8" x14ac:dyDescent="0.25">
      <c r="A115" s="15">
        <v>42369</v>
      </c>
      <c r="B115" s="15">
        <v>42384</v>
      </c>
      <c r="C115" s="15">
        <v>42397</v>
      </c>
      <c r="D115" s="13">
        <v>89314.460999999996</v>
      </c>
      <c r="E115" s="13">
        <v>17720.34936</v>
      </c>
      <c r="F115" s="13">
        <v>25424.3</v>
      </c>
      <c r="G115" s="13">
        <v>13474.663640115599</v>
      </c>
      <c r="H115" s="13"/>
    </row>
    <row r="116" spans="1:8" x14ac:dyDescent="0.25">
      <c r="A116" s="15">
        <v>42384</v>
      </c>
      <c r="B116" s="15">
        <v>42398</v>
      </c>
      <c r="C116" s="15">
        <v>42411</v>
      </c>
      <c r="D116" s="13">
        <v>92214.683999999994</v>
      </c>
      <c r="E116" s="13">
        <v>18093.578030000001</v>
      </c>
      <c r="F116" s="13">
        <v>25707.681999999997</v>
      </c>
      <c r="G116" s="13">
        <v>13634.360651405545</v>
      </c>
      <c r="H116" s="13"/>
    </row>
    <row r="117" spans="1:8" x14ac:dyDescent="0.25">
      <c r="A117" s="15">
        <v>42398</v>
      </c>
      <c r="B117" s="15">
        <v>42412</v>
      </c>
      <c r="C117" s="15">
        <v>42425</v>
      </c>
      <c r="D117" s="13">
        <v>90065.702000000005</v>
      </c>
      <c r="E117" s="13">
        <v>17192.866999999998</v>
      </c>
      <c r="F117" s="13">
        <v>26303.38</v>
      </c>
      <c r="G117" s="13">
        <v>13417.370753323499</v>
      </c>
      <c r="H117" s="13"/>
    </row>
    <row r="118" spans="1:8" x14ac:dyDescent="0.25">
      <c r="A118" s="15">
        <v>42412</v>
      </c>
      <c r="B118" s="15">
        <v>42426</v>
      </c>
      <c r="C118" s="15">
        <v>42439</v>
      </c>
      <c r="D118" s="13">
        <v>91446.134000000005</v>
      </c>
      <c r="E118" s="13">
        <v>18483.118882999999</v>
      </c>
      <c r="F118" s="13">
        <v>25592.407000000003</v>
      </c>
      <c r="G118" s="13">
        <v>14045.994127087102</v>
      </c>
      <c r="H118" s="13"/>
    </row>
    <row r="119" spans="1:8" x14ac:dyDescent="0.25">
      <c r="A119" s="15">
        <v>42426</v>
      </c>
      <c r="B119" s="15">
        <v>42440</v>
      </c>
      <c r="C119" s="15">
        <v>42453</v>
      </c>
      <c r="D119" s="13">
        <v>91740.116999999998</v>
      </c>
      <c r="E119" s="13">
        <v>17780.862985</v>
      </c>
      <c r="F119" s="13">
        <v>26206.614368999999</v>
      </c>
      <c r="G119" s="13">
        <v>14005.7058634888</v>
      </c>
      <c r="H119" s="13"/>
    </row>
    <row r="120" spans="1:8" x14ac:dyDescent="0.25">
      <c r="A120" s="15">
        <v>42440</v>
      </c>
      <c r="B120" s="15">
        <v>42454</v>
      </c>
      <c r="C120" s="15">
        <v>42467</v>
      </c>
      <c r="D120" s="13">
        <v>92041.47</v>
      </c>
      <c r="E120" s="13">
        <v>19635.485110000001</v>
      </c>
      <c r="F120" s="13">
        <v>25913.03975</v>
      </c>
      <c r="G120" s="13">
        <v>14225.5160446791</v>
      </c>
      <c r="H120" s="13"/>
    </row>
    <row r="121" spans="1:8" x14ac:dyDescent="0.25">
      <c r="A121" s="15">
        <v>42454</v>
      </c>
      <c r="B121" s="15">
        <v>42468</v>
      </c>
      <c r="C121" s="15">
        <v>42481</v>
      </c>
      <c r="D121" s="13">
        <v>91351.475999999995</v>
      </c>
      <c r="E121" s="13">
        <v>18285.696810000001</v>
      </c>
      <c r="F121" s="13">
        <v>26670.306626000001</v>
      </c>
      <c r="G121" s="13">
        <v>13995.7749183252</v>
      </c>
      <c r="H121" s="13"/>
    </row>
    <row r="122" spans="1:8" x14ac:dyDescent="0.25">
      <c r="A122" s="15">
        <v>42468</v>
      </c>
      <c r="B122" s="15">
        <v>42482</v>
      </c>
      <c r="C122" s="15">
        <v>42495</v>
      </c>
      <c r="D122" s="13">
        <v>91271.421000000002</v>
      </c>
      <c r="E122" s="13">
        <v>20588.756000000001</v>
      </c>
      <c r="F122" s="13">
        <v>25336.697778000002</v>
      </c>
      <c r="G122" s="13">
        <v>14208.6787002701</v>
      </c>
      <c r="H122" s="13"/>
    </row>
    <row r="123" spans="1:8" x14ac:dyDescent="0.25">
      <c r="A123" s="15">
        <v>42482</v>
      </c>
      <c r="B123" s="15">
        <v>42496</v>
      </c>
      <c r="C123" s="15">
        <v>42509</v>
      </c>
      <c r="D123" s="13">
        <v>91478.911999999997</v>
      </c>
      <c r="E123" s="13">
        <v>19456.239332000001</v>
      </c>
      <c r="F123" s="13">
        <v>26079.696495</v>
      </c>
      <c r="G123" s="13">
        <v>13982.4448270294</v>
      </c>
      <c r="H123" s="13"/>
    </row>
    <row r="124" spans="1:8" x14ac:dyDescent="0.25">
      <c r="A124" s="15">
        <v>42496</v>
      </c>
      <c r="B124" s="15">
        <v>42510</v>
      </c>
      <c r="C124" s="15">
        <v>42523</v>
      </c>
      <c r="D124" s="13">
        <v>92675.41</v>
      </c>
      <c r="E124" s="13">
        <v>21474.333019999998</v>
      </c>
      <c r="F124" s="13">
        <v>24819.115025999999</v>
      </c>
      <c r="G124" s="13">
        <v>13952.515489892699</v>
      </c>
      <c r="H124" s="13"/>
    </row>
    <row r="125" spans="1:8" x14ac:dyDescent="0.25">
      <c r="A125" s="15">
        <v>42510</v>
      </c>
      <c r="B125" s="15">
        <v>42524</v>
      </c>
      <c r="C125" s="15">
        <v>42537</v>
      </c>
      <c r="D125" s="13">
        <v>94161.629000000001</v>
      </c>
      <c r="E125" s="13">
        <v>18398.397970000002</v>
      </c>
      <c r="F125" s="13">
        <v>26273.874134999998</v>
      </c>
      <c r="G125" s="13">
        <v>13819.378013707201</v>
      </c>
      <c r="H125" s="13"/>
    </row>
    <row r="126" spans="1:8" x14ac:dyDescent="0.25">
      <c r="A126" s="15">
        <v>42524</v>
      </c>
      <c r="B126" s="15">
        <v>42538</v>
      </c>
      <c r="C126" s="15">
        <v>42551</v>
      </c>
      <c r="D126" s="13">
        <v>94544.599000000002</v>
      </c>
      <c r="E126" s="13">
        <v>23574.43388</v>
      </c>
      <c r="F126" s="13">
        <v>24983.716678000001</v>
      </c>
      <c r="G126" s="13">
        <v>13629.092685031501</v>
      </c>
      <c r="H126" s="13"/>
    </row>
    <row r="127" spans="1:8" x14ac:dyDescent="0.25">
      <c r="A127" s="15">
        <v>42538</v>
      </c>
      <c r="B127" s="15">
        <v>42552</v>
      </c>
      <c r="C127" s="15">
        <v>42565</v>
      </c>
      <c r="D127" s="13">
        <v>95248.97</v>
      </c>
      <c r="E127" s="13">
        <v>20413.737229999999</v>
      </c>
      <c r="F127" s="13">
        <v>25523.13</v>
      </c>
      <c r="G127" s="13">
        <v>14048.8</v>
      </c>
      <c r="H127" s="13"/>
    </row>
    <row r="128" spans="1:8" x14ac:dyDescent="0.25">
      <c r="A128" s="15">
        <v>42552</v>
      </c>
      <c r="B128" s="15">
        <v>42566</v>
      </c>
      <c r="C128" s="15">
        <v>42579</v>
      </c>
      <c r="D128" s="13">
        <v>95684.004000000001</v>
      </c>
      <c r="E128" s="13">
        <v>23584.430199999999</v>
      </c>
      <c r="F128" s="13">
        <v>25382.888622999999</v>
      </c>
      <c r="G128" s="13">
        <v>14433.1417470508</v>
      </c>
      <c r="H128" s="13"/>
    </row>
    <row r="129" spans="1:8" x14ac:dyDescent="0.25">
      <c r="A129" s="15">
        <v>42566</v>
      </c>
      <c r="B129" s="15">
        <v>42580</v>
      </c>
      <c r="C129" s="15">
        <v>42593</v>
      </c>
      <c r="D129" s="13">
        <v>96409.934999999998</v>
      </c>
      <c r="E129" s="13">
        <v>23998.13724</v>
      </c>
      <c r="F129" s="13">
        <v>22578.022637999999</v>
      </c>
      <c r="G129" s="13">
        <v>14311.4785967507</v>
      </c>
      <c r="H129" s="13"/>
    </row>
    <row r="130" spans="1:8" x14ac:dyDescent="0.25">
      <c r="A130" s="15">
        <v>42580</v>
      </c>
      <c r="B130" s="15">
        <v>42594</v>
      </c>
      <c r="C130" s="15">
        <v>42607</v>
      </c>
      <c r="D130" s="13">
        <v>98462.505000000005</v>
      </c>
      <c r="E130" s="13">
        <v>25253.090830000001</v>
      </c>
      <c r="F130" s="13">
        <v>22955.157973000001</v>
      </c>
      <c r="G130" s="13">
        <v>14003.882681700001</v>
      </c>
      <c r="H130" s="13"/>
    </row>
    <row r="131" spans="1:8" x14ac:dyDescent="0.25">
      <c r="A131" s="15">
        <v>42594</v>
      </c>
      <c r="B131" s="15">
        <v>42608</v>
      </c>
      <c r="C131" s="15">
        <v>42621</v>
      </c>
      <c r="D131" s="13">
        <v>95167.396999999997</v>
      </c>
      <c r="E131" s="13">
        <v>26537.374250000001</v>
      </c>
      <c r="F131" s="13">
        <v>22020.442293</v>
      </c>
      <c r="G131" s="13">
        <v>14226.1220416454</v>
      </c>
      <c r="H131" s="13"/>
    </row>
    <row r="132" spans="1:8" x14ac:dyDescent="0.25">
      <c r="A132" s="15">
        <v>42608</v>
      </c>
      <c r="B132" s="15">
        <v>42622</v>
      </c>
      <c r="C132" s="15">
        <v>42635</v>
      </c>
      <c r="D132" s="13">
        <v>94810.164000000004</v>
      </c>
      <c r="E132" s="13">
        <v>26447.013579999999</v>
      </c>
      <c r="F132" s="13">
        <v>21452.334445</v>
      </c>
      <c r="G132" s="13">
        <v>13585.2352600091</v>
      </c>
      <c r="H132" s="13"/>
    </row>
    <row r="133" spans="1:8" x14ac:dyDescent="0.25">
      <c r="A133" s="15">
        <v>42622</v>
      </c>
      <c r="B133" s="15">
        <v>42636</v>
      </c>
      <c r="C133" s="15">
        <v>42649</v>
      </c>
      <c r="D133" s="13">
        <v>91528.805999999997</v>
      </c>
      <c r="E133" s="13">
        <v>29172.006979999998</v>
      </c>
      <c r="F133" s="13">
        <v>19354.849165</v>
      </c>
      <c r="G133" s="13">
        <v>13671.4781874739</v>
      </c>
      <c r="H133" s="13"/>
    </row>
    <row r="134" spans="1:8" x14ac:dyDescent="0.25">
      <c r="A134" s="15">
        <v>42636</v>
      </c>
      <c r="B134" s="15">
        <v>42650</v>
      </c>
      <c r="C134" s="15">
        <v>42663</v>
      </c>
      <c r="D134" s="13">
        <v>91261.130999999994</v>
      </c>
      <c r="E134" s="13">
        <v>29021.04466</v>
      </c>
      <c r="F134" s="13">
        <v>18388.337640000002</v>
      </c>
      <c r="G134" s="13">
        <v>13292.875959000699</v>
      </c>
      <c r="H134" s="13"/>
    </row>
    <row r="135" spans="1:8" x14ac:dyDescent="0.25">
      <c r="A135" s="15">
        <v>42650</v>
      </c>
      <c r="B135" s="15">
        <v>42664</v>
      </c>
      <c r="C135" s="15">
        <v>42677</v>
      </c>
      <c r="D135" s="13">
        <v>92786.274000000005</v>
      </c>
      <c r="E135" s="13">
        <v>33970.299950000001</v>
      </c>
      <c r="F135" s="13">
        <v>17181.543011999998</v>
      </c>
      <c r="G135" s="13">
        <v>12063.2154373512</v>
      </c>
      <c r="H135" s="13"/>
    </row>
    <row r="136" spans="1:8" x14ac:dyDescent="0.25">
      <c r="A136" s="15">
        <v>42664</v>
      </c>
      <c r="B136" s="15">
        <v>42678</v>
      </c>
      <c r="C136" s="15">
        <v>42691</v>
      </c>
      <c r="D136" s="13">
        <v>93767.562000000005</v>
      </c>
      <c r="E136" s="13">
        <v>33700.230170000003</v>
      </c>
      <c r="F136" s="13">
        <v>17274.363013999999</v>
      </c>
      <c r="G136" s="13">
        <v>11487.998145354301</v>
      </c>
      <c r="H136" s="13"/>
    </row>
    <row r="137" spans="1:8" x14ac:dyDescent="0.25">
      <c r="A137" s="15">
        <v>42678</v>
      </c>
      <c r="B137" s="15">
        <v>42692</v>
      </c>
      <c r="C137" s="15">
        <v>42705</v>
      </c>
      <c r="D137" s="13">
        <v>93848.46</v>
      </c>
      <c r="E137" s="13">
        <v>35254.242019999998</v>
      </c>
      <c r="F137" s="13">
        <v>15697.964574</v>
      </c>
      <c r="G137" s="13">
        <v>11379.611037819401</v>
      </c>
      <c r="H137" s="13">
        <v>2.7705718320963899</v>
      </c>
    </row>
    <row r="138" spans="1:8" x14ac:dyDescent="0.25">
      <c r="A138" s="15">
        <v>42692</v>
      </c>
      <c r="B138" s="15">
        <v>42706</v>
      </c>
      <c r="C138" s="15">
        <v>42719</v>
      </c>
      <c r="D138" s="13">
        <v>94965.725000000006</v>
      </c>
      <c r="E138" s="13">
        <v>33662.401290000002</v>
      </c>
      <c r="F138" s="13">
        <v>15786.190404999999</v>
      </c>
      <c r="G138" s="13">
        <v>10575.6941454973</v>
      </c>
      <c r="H138" s="13">
        <v>16.9360900686905</v>
      </c>
    </row>
    <row r="139" spans="1:8" x14ac:dyDescent="0.25">
      <c r="A139" s="15">
        <v>42706</v>
      </c>
      <c r="B139" s="15">
        <v>42720</v>
      </c>
      <c r="C139" s="15">
        <v>42733</v>
      </c>
      <c r="D139" s="13">
        <v>93181.452000000005</v>
      </c>
      <c r="E139" s="13">
        <v>32619.890630000002</v>
      </c>
      <c r="F139" s="13">
        <v>15723.94629</v>
      </c>
      <c r="G139" s="13">
        <v>9571.4208253381003</v>
      </c>
      <c r="H139" s="13">
        <v>25.330185564046001</v>
      </c>
    </row>
    <row r="140" spans="1:8" x14ac:dyDescent="0.25">
      <c r="A140" s="15">
        <v>42720</v>
      </c>
      <c r="B140" s="15">
        <v>42734</v>
      </c>
      <c r="C140" s="15">
        <v>42747</v>
      </c>
      <c r="D140" s="13">
        <v>94544.846000000005</v>
      </c>
      <c r="E140" s="13">
        <v>35382.533609999999</v>
      </c>
      <c r="F140" s="13">
        <v>15343.888244</v>
      </c>
      <c r="G140" s="13">
        <v>8988.2238437000105</v>
      </c>
      <c r="H140" s="13">
        <v>31.828233135150899</v>
      </c>
    </row>
    <row r="141" spans="1:8" x14ac:dyDescent="0.25">
      <c r="A141" s="15">
        <v>42734</v>
      </c>
      <c r="B141" s="15">
        <v>42748</v>
      </c>
      <c r="C141" s="15">
        <v>42761</v>
      </c>
      <c r="D141" s="13">
        <v>94976.618000000002</v>
      </c>
      <c r="E141" s="13">
        <v>28242.787639999999</v>
      </c>
      <c r="F141" s="13">
        <v>16534.648754000002</v>
      </c>
      <c r="G141" s="13">
        <v>10388.4818235727</v>
      </c>
      <c r="H141" s="13">
        <v>41.403989651395896</v>
      </c>
    </row>
    <row r="142" spans="1:8" x14ac:dyDescent="0.25">
      <c r="A142" s="15">
        <v>42748</v>
      </c>
      <c r="B142" s="15">
        <v>42762</v>
      </c>
      <c r="C142" s="15">
        <v>42775</v>
      </c>
      <c r="D142" s="13">
        <v>96014.989000000001</v>
      </c>
      <c r="E142" s="13">
        <v>28424.18651</v>
      </c>
      <c r="F142" s="13">
        <v>16251.183660000001</v>
      </c>
      <c r="G142" s="13">
        <v>10689.120362175699</v>
      </c>
      <c r="H142" s="13">
        <v>49.837142612646403</v>
      </c>
    </row>
    <row r="143" spans="1:8" x14ac:dyDescent="0.25">
      <c r="A143" s="15">
        <v>42762</v>
      </c>
      <c r="B143" s="15">
        <v>42776</v>
      </c>
      <c r="C143" s="15">
        <v>42789</v>
      </c>
      <c r="D143" s="13">
        <v>95812.981</v>
      </c>
      <c r="E143" s="13">
        <v>24531.390090000001</v>
      </c>
      <c r="F143" s="13">
        <v>17046.827814</v>
      </c>
      <c r="G143" s="13">
        <v>11110.770809305301</v>
      </c>
      <c r="H143" s="13">
        <v>58.827925009767299</v>
      </c>
    </row>
    <row r="144" spans="1:8" x14ac:dyDescent="0.25">
      <c r="A144" s="15">
        <v>42776</v>
      </c>
      <c r="B144" s="15">
        <v>42790</v>
      </c>
      <c r="C144" s="15">
        <v>42803</v>
      </c>
      <c r="D144" s="13">
        <v>92621.197</v>
      </c>
      <c r="E144" s="13">
        <v>25119.9202</v>
      </c>
      <c r="F144" s="13">
        <v>17371.104576000002</v>
      </c>
      <c r="G144" s="13">
        <v>11059.800981279501</v>
      </c>
      <c r="H144" s="13">
        <v>65.778908579480103</v>
      </c>
    </row>
    <row r="145" spans="1:8" x14ac:dyDescent="0.25">
      <c r="A145" s="15">
        <v>42790</v>
      </c>
      <c r="B145" s="15">
        <v>42804</v>
      </c>
      <c r="C145" s="15">
        <v>42817</v>
      </c>
      <c r="D145" s="13">
        <v>92485.671000000002</v>
      </c>
      <c r="E145" s="13">
        <v>20888.161339999999</v>
      </c>
      <c r="F145" s="13">
        <v>19040.809418000001</v>
      </c>
      <c r="G145" s="13">
        <v>11454.7994604012</v>
      </c>
      <c r="H145" s="13">
        <v>72.674986922608895</v>
      </c>
    </row>
    <row r="146" spans="1:8" x14ac:dyDescent="0.25">
      <c r="A146" s="15">
        <v>42804</v>
      </c>
      <c r="B146" s="15">
        <v>42818</v>
      </c>
      <c r="C146" s="15">
        <v>42831</v>
      </c>
      <c r="D146" s="13">
        <v>93149.672000000006</v>
      </c>
      <c r="E146" s="13">
        <v>22414.97567</v>
      </c>
      <c r="F146" s="13">
        <v>18674.412700000001</v>
      </c>
      <c r="G146" s="13">
        <v>11327.6358341179</v>
      </c>
      <c r="H146" s="13">
        <v>73.651331641703507</v>
      </c>
    </row>
    <row r="147" spans="1:8" x14ac:dyDescent="0.25">
      <c r="A147" s="15">
        <v>42818</v>
      </c>
      <c r="B147" s="15">
        <v>42832</v>
      </c>
      <c r="C147" s="15">
        <v>42845</v>
      </c>
      <c r="D147" s="13">
        <v>94026.717999999993</v>
      </c>
      <c r="E147" s="13">
        <v>21866.979070000001</v>
      </c>
      <c r="F147" s="13">
        <v>18885.575219999999</v>
      </c>
      <c r="G147" s="13">
        <v>12064.705099999999</v>
      </c>
      <c r="H147" s="13">
        <v>81.642759999999996</v>
      </c>
    </row>
    <row r="148" spans="1:8" x14ac:dyDescent="0.25">
      <c r="A148" s="15">
        <v>42832</v>
      </c>
      <c r="B148" s="15">
        <v>42846</v>
      </c>
      <c r="C148" s="15">
        <v>42859</v>
      </c>
      <c r="D148" s="13">
        <v>95275.987999999998</v>
      </c>
      <c r="E148" s="13">
        <v>21808.349816000002</v>
      </c>
      <c r="F148" s="13">
        <v>18388.113859000001</v>
      </c>
      <c r="G148" s="13">
        <v>12338.465715235199</v>
      </c>
      <c r="H148" s="13">
        <v>86.883466422777204</v>
      </c>
    </row>
    <row r="149" spans="1:8" x14ac:dyDescent="0.25">
      <c r="A149" s="15">
        <v>42846</v>
      </c>
      <c r="B149" s="15">
        <v>42860</v>
      </c>
      <c r="C149" s="15">
        <v>42876</v>
      </c>
      <c r="D149" s="13">
        <v>96458.615999999995</v>
      </c>
      <c r="E149" s="13">
        <v>22750.557069999999</v>
      </c>
      <c r="F149" s="13">
        <v>19082.263778</v>
      </c>
      <c r="G149" s="13">
        <v>12544.163950960001</v>
      </c>
      <c r="H149" s="13">
        <v>92.978938449835098</v>
      </c>
    </row>
    <row r="150" spans="1:8" x14ac:dyDescent="0.25">
      <c r="A150" s="15">
        <v>42860</v>
      </c>
      <c r="B150" s="15">
        <v>42877</v>
      </c>
      <c r="C150" s="15">
        <v>42887</v>
      </c>
      <c r="D150" s="13">
        <v>95162.743000000002</v>
      </c>
      <c r="E150" s="13">
        <v>22920.516620999999</v>
      </c>
      <c r="F150" s="13">
        <v>19263.702477999999</v>
      </c>
      <c r="G150" s="13">
        <v>11978.403639644601</v>
      </c>
      <c r="H150" s="13">
        <v>93.902199761494799</v>
      </c>
    </row>
    <row r="151" spans="1:8" x14ac:dyDescent="0.25">
      <c r="A151" s="15">
        <v>42873</v>
      </c>
      <c r="B151" s="15">
        <v>42888</v>
      </c>
      <c r="C151" s="15">
        <v>42901</v>
      </c>
      <c r="D151" s="13">
        <v>98378.316999999995</v>
      </c>
      <c r="E151" s="13">
        <v>24402.84405</v>
      </c>
      <c r="F151" s="13">
        <v>19799.849209</v>
      </c>
      <c r="G151" s="13">
        <v>12416.028930517699</v>
      </c>
      <c r="H151" s="13">
        <v>101.116367633134</v>
      </c>
    </row>
    <row r="152" spans="1:8" x14ac:dyDescent="0.25">
      <c r="A152" s="15">
        <v>42888</v>
      </c>
      <c r="B152" s="15">
        <v>42902</v>
      </c>
      <c r="C152" s="15">
        <v>42915</v>
      </c>
      <c r="D152" s="13">
        <v>96701.262000000002</v>
      </c>
      <c r="E152" s="13">
        <v>23160.1453</v>
      </c>
      <c r="F152" s="13">
        <v>19676.482695999999</v>
      </c>
      <c r="G152" s="13">
        <v>12326.6753266428</v>
      </c>
      <c r="H152" s="13">
        <v>106.366092762121</v>
      </c>
    </row>
    <row r="153" spans="1:8" x14ac:dyDescent="0.25">
      <c r="A153" s="15">
        <v>42902</v>
      </c>
      <c r="B153" s="15">
        <v>42916</v>
      </c>
      <c r="C153" s="15">
        <v>42929</v>
      </c>
      <c r="D153" s="13">
        <v>98545.766000000003</v>
      </c>
      <c r="E153" s="13">
        <v>24328.800719999999</v>
      </c>
      <c r="F153" s="13">
        <v>20255.783058000001</v>
      </c>
      <c r="G153" s="13">
        <v>12464.4020222914</v>
      </c>
      <c r="H153" s="13">
        <v>111.612132545805</v>
      </c>
    </row>
    <row r="154" spans="1:8" x14ac:dyDescent="0.25">
      <c r="A154" s="15">
        <v>42916</v>
      </c>
      <c r="B154" s="15">
        <v>42930</v>
      </c>
      <c r="C154" s="15">
        <v>42943</v>
      </c>
      <c r="D154" s="13">
        <v>98621.632000000012</v>
      </c>
      <c r="E154" s="13">
        <v>23298.880410000002</v>
      </c>
      <c r="F154" s="13">
        <v>19906.47227799999</v>
      </c>
      <c r="G154" s="13">
        <v>12534.753756468519</v>
      </c>
      <c r="H154" s="13">
        <v>115.50359955330616</v>
      </c>
    </row>
    <row r="155" spans="1:8" x14ac:dyDescent="0.25">
      <c r="A155" s="15">
        <v>42930</v>
      </c>
      <c r="B155" s="15">
        <v>42944</v>
      </c>
      <c r="C155" s="15">
        <v>42957</v>
      </c>
      <c r="D155" s="13">
        <v>101351.039</v>
      </c>
      <c r="E155" s="13">
        <v>24627.390510000001</v>
      </c>
      <c r="F155" s="13">
        <v>20543.302313</v>
      </c>
      <c r="G155" s="13">
        <v>12475.8287730183</v>
      </c>
      <c r="H155" s="13">
        <v>117.64834628814801</v>
      </c>
    </row>
    <row r="156" spans="1:8" x14ac:dyDescent="0.25">
      <c r="A156" s="15">
        <v>42944</v>
      </c>
      <c r="B156" s="15">
        <v>42958</v>
      </c>
      <c r="C156" s="15">
        <v>42971</v>
      </c>
      <c r="D156" s="13">
        <v>100786.599</v>
      </c>
      <c r="E156" s="13">
        <v>25518.405999999999</v>
      </c>
      <c r="F156" s="13">
        <v>20316.491127999998</v>
      </c>
      <c r="G156" s="13">
        <v>12916.193688822963</v>
      </c>
      <c r="H156" s="13">
        <v>128.24163674812831</v>
      </c>
    </row>
    <row r="157" spans="1:8" x14ac:dyDescent="0.25">
      <c r="A157" s="15">
        <v>42958</v>
      </c>
      <c r="B157" s="15">
        <v>42972</v>
      </c>
      <c r="C157" s="15">
        <v>42985</v>
      </c>
      <c r="D157" s="13">
        <v>102724.81</v>
      </c>
      <c r="E157" s="13">
        <v>24301.840670000001</v>
      </c>
      <c r="F157" s="13">
        <v>20640.266111000001</v>
      </c>
      <c r="G157" s="13">
        <v>13106.7673988553</v>
      </c>
      <c r="H157" s="13">
        <v>143.232085464335</v>
      </c>
    </row>
    <row r="158" spans="1:8" x14ac:dyDescent="0.25">
      <c r="A158" s="15">
        <v>42972</v>
      </c>
      <c r="B158" s="15">
        <v>42986</v>
      </c>
      <c r="C158" s="15">
        <v>42999</v>
      </c>
      <c r="D158" s="13">
        <v>102535.039</v>
      </c>
      <c r="E158" s="13">
        <v>26066.53527</v>
      </c>
      <c r="F158" s="13">
        <v>20944.426307999998</v>
      </c>
      <c r="G158" s="13">
        <v>13185.234462378499</v>
      </c>
      <c r="H158" s="13">
        <v>152.84378832264699</v>
      </c>
    </row>
    <row r="159" spans="1:8" x14ac:dyDescent="0.25">
      <c r="A159" s="15">
        <v>42986</v>
      </c>
      <c r="B159" s="15">
        <v>43000</v>
      </c>
      <c r="C159" s="15">
        <v>43013</v>
      </c>
      <c r="D159" s="13">
        <v>100647.64599999999</v>
      </c>
      <c r="E159" s="13">
        <v>24671.025580000001</v>
      </c>
      <c r="F159" s="13">
        <v>20279.285307999999</v>
      </c>
      <c r="G159" s="13">
        <v>13336.630456410399</v>
      </c>
      <c r="H159" s="13">
        <v>191.31643619499201</v>
      </c>
    </row>
    <row r="160" spans="1:8" x14ac:dyDescent="0.25">
      <c r="A160" s="15">
        <v>43000</v>
      </c>
      <c r="B160" s="15">
        <v>43014</v>
      </c>
      <c r="C160" s="15">
        <v>43027</v>
      </c>
      <c r="D160" s="13">
        <v>102699.568</v>
      </c>
      <c r="E160" s="13">
        <v>23448.055079999998</v>
      </c>
      <c r="F160" s="13">
        <v>21220.227103000001</v>
      </c>
      <c r="G160" s="13">
        <v>13236.228557779799</v>
      </c>
      <c r="H160" s="13">
        <v>203.889675049587</v>
      </c>
    </row>
    <row r="161" spans="1:8" x14ac:dyDescent="0.25">
      <c r="A161" s="15">
        <v>43014</v>
      </c>
      <c r="B161" s="15">
        <v>43028</v>
      </c>
      <c r="C161" s="15">
        <v>43041</v>
      </c>
      <c r="D161" s="13">
        <v>103441.42200000001</v>
      </c>
      <c r="E161" s="13">
        <v>21874.03</v>
      </c>
      <c r="F161" s="13">
        <v>21686.081569999998</v>
      </c>
      <c r="G161" s="13">
        <v>13584.2337697573</v>
      </c>
      <c r="H161" s="13">
        <v>211.377132751913</v>
      </c>
    </row>
    <row r="162" spans="1:8" x14ac:dyDescent="0.25">
      <c r="A162" s="15">
        <v>43028</v>
      </c>
      <c r="B162" s="15">
        <v>43042</v>
      </c>
      <c r="C162" s="15">
        <v>43055</v>
      </c>
      <c r="D162" s="13">
        <v>105696.942</v>
      </c>
      <c r="E162" s="13">
        <v>20666.759600000001</v>
      </c>
      <c r="F162" s="13">
        <v>22045.802973000002</v>
      </c>
      <c r="G162" s="13">
        <v>14122.861186628599</v>
      </c>
      <c r="H162" s="13">
        <v>214.53908366065599</v>
      </c>
    </row>
    <row r="163" spans="1:8" x14ac:dyDescent="0.25">
      <c r="A163" s="15">
        <v>43042</v>
      </c>
      <c r="B163" s="15">
        <v>43056</v>
      </c>
      <c r="C163" s="15">
        <v>43069</v>
      </c>
      <c r="D163" s="13">
        <v>107367.327</v>
      </c>
      <c r="E163" s="13">
        <v>24371.344669999999</v>
      </c>
      <c r="F163" s="13">
        <v>21551.036515</v>
      </c>
      <c r="G163" s="13">
        <v>14157.8401952932</v>
      </c>
      <c r="H163" s="13">
        <v>218.68404946727199</v>
      </c>
    </row>
    <row r="164" spans="1:8" x14ac:dyDescent="0.25">
      <c r="A164" s="15">
        <v>43056</v>
      </c>
      <c r="B164" s="15">
        <v>43070</v>
      </c>
      <c r="C164" s="15">
        <v>43083</v>
      </c>
      <c r="D164" s="13">
        <v>108690.90199999999</v>
      </c>
      <c r="E164" s="13">
        <v>26439.489389999999</v>
      </c>
      <c r="F164" s="13">
        <v>20118.300436999998</v>
      </c>
      <c r="G164" s="13">
        <v>14192.117640890461</v>
      </c>
      <c r="H164" s="13">
        <v>228.91782807279492</v>
      </c>
    </row>
    <row r="165" spans="1:8" x14ac:dyDescent="0.25">
      <c r="A165" s="15">
        <v>43070</v>
      </c>
      <c r="B165" s="15">
        <v>43084</v>
      </c>
      <c r="C165" s="15">
        <v>43097</v>
      </c>
      <c r="D165" s="13">
        <v>106608.77</v>
      </c>
      <c r="E165" s="13">
        <v>27602.646209999999</v>
      </c>
      <c r="F165" s="13">
        <v>18878.657833999991</v>
      </c>
      <c r="G165" s="13">
        <v>13733.413061080551</v>
      </c>
      <c r="H165" s="13">
        <v>235.61260842920782</v>
      </c>
    </row>
    <row r="166" spans="1:8" x14ac:dyDescent="0.25">
      <c r="A166" s="15">
        <v>43084</v>
      </c>
      <c r="B166" s="15">
        <v>43098</v>
      </c>
      <c r="C166" s="15">
        <v>43111</v>
      </c>
      <c r="D166" s="13">
        <v>108114.394</v>
      </c>
      <c r="E166" s="13">
        <v>32805.060669999999</v>
      </c>
      <c r="F166" s="13">
        <v>16572.443019999999</v>
      </c>
      <c r="G166" s="13">
        <v>13962.923974541096</v>
      </c>
      <c r="H166" s="13">
        <v>246.74956709409125</v>
      </c>
    </row>
    <row r="167" spans="1:8" x14ac:dyDescent="0.25">
      <c r="A167" s="15">
        <v>43098</v>
      </c>
      <c r="B167" s="15">
        <v>43112</v>
      </c>
      <c r="C167" s="15">
        <v>43125</v>
      </c>
      <c r="D167" s="13">
        <v>107659.76299999999</v>
      </c>
      <c r="E167" s="13">
        <v>28152.161049999999</v>
      </c>
      <c r="F167" s="13">
        <v>19407.919633999994</v>
      </c>
      <c r="G167" s="13">
        <v>14086.396598367219</v>
      </c>
      <c r="H167" s="13">
        <v>255.54439526504308</v>
      </c>
    </row>
    <row r="168" spans="1:8" x14ac:dyDescent="0.25">
      <c r="A168" s="15">
        <v>43112</v>
      </c>
      <c r="B168" s="15">
        <v>43126</v>
      </c>
      <c r="C168" s="15">
        <v>43139</v>
      </c>
      <c r="D168" s="13">
        <v>108103.06</v>
      </c>
      <c r="E168" s="13">
        <v>26155.36521</v>
      </c>
      <c r="F168" s="13">
        <v>20783.22414799999</v>
      </c>
      <c r="G168" s="13">
        <v>14401.500076651564</v>
      </c>
      <c r="H168" s="13">
        <v>274.81408515107989</v>
      </c>
    </row>
    <row r="169" spans="1:8" x14ac:dyDescent="0.25">
      <c r="A169" s="15">
        <v>43126</v>
      </c>
      <c r="B169" s="15">
        <v>43140</v>
      </c>
      <c r="C169" s="15">
        <v>43153</v>
      </c>
      <c r="D169" s="13">
        <v>108654.24799999999</v>
      </c>
      <c r="E169" s="13">
        <v>25549.060509999999</v>
      </c>
      <c r="F169" s="13">
        <v>21290.910533999991</v>
      </c>
      <c r="G169" s="13">
        <v>14854.068449374143</v>
      </c>
      <c r="H169" s="13">
        <v>294.63604791814754</v>
      </c>
    </row>
    <row r="170" spans="1:8" x14ac:dyDescent="0.25">
      <c r="A170" s="15">
        <v>43140</v>
      </c>
      <c r="B170" s="15">
        <v>43154</v>
      </c>
      <c r="C170" s="15">
        <v>43167</v>
      </c>
      <c r="D170" s="13">
        <v>107299.236</v>
      </c>
      <c r="E170" s="13">
        <v>25271.337950000001</v>
      </c>
      <c r="F170" s="13">
        <v>20729.609820999998</v>
      </c>
      <c r="G170" s="13">
        <v>14497.7739597362</v>
      </c>
      <c r="H170" s="13">
        <v>293.64962727068098</v>
      </c>
    </row>
    <row r="171" spans="1:8" x14ac:dyDescent="0.25">
      <c r="A171" s="15">
        <v>43154</v>
      </c>
      <c r="B171" s="15">
        <v>43168</v>
      </c>
      <c r="C171" s="15">
        <v>43181</v>
      </c>
      <c r="D171" s="13">
        <v>107538.68400000001</v>
      </c>
      <c r="E171" s="13">
        <v>24487.623100000001</v>
      </c>
      <c r="F171" s="13">
        <v>21172.835656999996</v>
      </c>
      <c r="G171" s="13">
        <v>14613.755951826977</v>
      </c>
      <c r="H171" s="13">
        <v>300.80962426911503</v>
      </c>
    </row>
    <row r="172" spans="1:8" x14ac:dyDescent="0.25">
      <c r="A172" s="15">
        <v>43168</v>
      </c>
      <c r="B172" s="15">
        <v>43182</v>
      </c>
      <c r="C172" s="15">
        <v>43195</v>
      </c>
      <c r="D172" s="13">
        <v>108459.817</v>
      </c>
      <c r="E172" s="13">
        <v>26403.499049999999</v>
      </c>
      <c r="F172" s="13">
        <v>20245.530784999999</v>
      </c>
      <c r="G172" s="13">
        <v>14608.229249316801</v>
      </c>
      <c r="H172" s="13">
        <v>306.51886173106999</v>
      </c>
    </row>
    <row r="173" spans="1:8" x14ac:dyDescent="0.25">
      <c r="A173" s="15">
        <v>43182</v>
      </c>
      <c r="B173" s="15">
        <v>43196</v>
      </c>
      <c r="C173" s="15">
        <v>43209</v>
      </c>
      <c r="D173" s="13">
        <v>111364.016</v>
      </c>
      <c r="E173" s="13">
        <v>27478.560279000001</v>
      </c>
      <c r="F173" s="13">
        <v>19752.622345</v>
      </c>
      <c r="G173" s="13">
        <v>14818.012361132814</v>
      </c>
      <c r="H173" s="13">
        <v>318.54268812314922</v>
      </c>
    </row>
    <row r="174" spans="1:8" x14ac:dyDescent="0.25">
      <c r="A174" s="15">
        <v>43196</v>
      </c>
      <c r="B174" s="15">
        <v>43210</v>
      </c>
      <c r="C174" s="15">
        <v>43223</v>
      </c>
      <c r="D174" s="13">
        <v>112310.25099999999</v>
      </c>
      <c r="E174" s="13">
        <v>27495.185938999999</v>
      </c>
      <c r="F174" s="13">
        <v>19714.78364799999</v>
      </c>
      <c r="G174" s="13">
        <v>14488.773097284587</v>
      </c>
      <c r="H174" s="13">
        <v>314.92205318112065</v>
      </c>
    </row>
    <row r="175" spans="1:8" x14ac:dyDescent="0.25">
      <c r="A175" s="15">
        <v>43210</v>
      </c>
      <c r="B175" s="15">
        <v>43224</v>
      </c>
      <c r="C175" s="15">
        <v>43237</v>
      </c>
      <c r="D175" s="13">
        <v>113626.215</v>
      </c>
      <c r="E175" s="13">
        <v>33471.521567000003</v>
      </c>
      <c r="F175" s="13">
        <v>17565.729987999999</v>
      </c>
      <c r="G175" s="13">
        <v>14385.505154193383</v>
      </c>
      <c r="H175" s="13">
        <v>319.333022347059</v>
      </c>
    </row>
    <row r="176" spans="1:8" x14ac:dyDescent="0.25">
      <c r="A176" s="15">
        <v>43224</v>
      </c>
      <c r="B176" s="15">
        <v>43238</v>
      </c>
      <c r="C176" s="15">
        <v>43251</v>
      </c>
      <c r="D176" s="13">
        <v>113684.173</v>
      </c>
      <c r="E176" s="13">
        <v>32532.13063</v>
      </c>
      <c r="F176" s="13">
        <v>17707.289381000002</v>
      </c>
      <c r="G176" s="13">
        <v>13867.423366053054</v>
      </c>
      <c r="H176" s="13">
        <v>322.11357182271956</v>
      </c>
    </row>
    <row r="177" spans="1:8" x14ac:dyDescent="0.25">
      <c r="A177" s="15">
        <v>43238</v>
      </c>
      <c r="B177" s="15">
        <v>43252</v>
      </c>
      <c r="C177" s="15">
        <v>43268</v>
      </c>
      <c r="D177" s="13">
        <v>115850.73</v>
      </c>
      <c r="E177" s="13">
        <v>33071.664120000001</v>
      </c>
      <c r="F177" s="13">
        <v>16476.880469</v>
      </c>
      <c r="G177" s="13">
        <v>13674.792460679413</v>
      </c>
      <c r="H177" s="13">
        <v>324.19316907862708</v>
      </c>
    </row>
    <row r="178" spans="1:8" x14ac:dyDescent="0.25">
      <c r="A178" s="15">
        <v>43252</v>
      </c>
      <c r="B178" s="15">
        <v>43269</v>
      </c>
      <c r="C178" s="15">
        <v>43279</v>
      </c>
      <c r="D178" s="13">
        <v>112967.102</v>
      </c>
      <c r="E178" s="13">
        <v>33271.549843000008</v>
      </c>
      <c r="F178" s="13">
        <v>15341.485983000006</v>
      </c>
      <c r="G178" s="13">
        <v>13279.503341283051</v>
      </c>
      <c r="H178" s="13">
        <v>335.23768279500746</v>
      </c>
    </row>
    <row r="179" spans="1:8" x14ac:dyDescent="0.25">
      <c r="A179" s="15">
        <v>43265</v>
      </c>
      <c r="B179" s="15">
        <v>43280</v>
      </c>
      <c r="C179" s="15">
        <v>43293</v>
      </c>
      <c r="D179" s="13">
        <v>115194.98</v>
      </c>
      <c r="E179" s="13">
        <v>35167.350534999998</v>
      </c>
      <c r="F179" s="13">
        <v>14993.805911000003</v>
      </c>
      <c r="G179" s="13">
        <v>12745.448352070942</v>
      </c>
      <c r="H179" s="13">
        <v>334.09017133104288</v>
      </c>
    </row>
    <row r="180" spans="1:8" x14ac:dyDescent="0.25">
      <c r="A180" s="15">
        <v>43280</v>
      </c>
      <c r="B180" s="15">
        <v>43294</v>
      </c>
      <c r="C180" s="15">
        <v>43307</v>
      </c>
      <c r="D180" s="13">
        <v>114258.705</v>
      </c>
      <c r="E180" s="13">
        <v>34164.619919999997</v>
      </c>
      <c r="F180" s="13">
        <v>15415.004967999999</v>
      </c>
      <c r="G180" s="13">
        <v>12647.520886363242</v>
      </c>
      <c r="H180" s="13">
        <v>330.05300719115974</v>
      </c>
    </row>
    <row r="181" spans="1:8" x14ac:dyDescent="0.25">
      <c r="A181" s="15">
        <v>43294</v>
      </c>
      <c r="B181" s="15">
        <v>43308</v>
      </c>
      <c r="C181" s="15">
        <v>43321</v>
      </c>
      <c r="D181" s="13">
        <v>117950.057</v>
      </c>
      <c r="E181" s="13">
        <v>36362.226005000004</v>
      </c>
      <c r="F181" s="13">
        <v>15145.476725999997</v>
      </c>
      <c r="G181" s="13">
        <v>12171.80595890372</v>
      </c>
      <c r="H181" s="13">
        <v>343.53552205537778</v>
      </c>
    </row>
    <row r="182" spans="1:8" x14ac:dyDescent="0.25">
      <c r="A182" s="15">
        <v>43308</v>
      </c>
      <c r="B182" s="15">
        <v>43322</v>
      </c>
      <c r="C182" s="15">
        <v>43338</v>
      </c>
      <c r="D182" s="13">
        <v>89014.930999999997</v>
      </c>
      <c r="E182" s="13">
        <v>28686.698780181901</v>
      </c>
      <c r="F182" s="13">
        <v>9162.022918345283</v>
      </c>
      <c r="G182" s="13">
        <v>9966.5633879327597</v>
      </c>
      <c r="H182" s="13">
        <v>346.81610379996499</v>
      </c>
    </row>
    <row r="183" spans="1:8" x14ac:dyDescent="0.25">
      <c r="A183" s="15">
        <v>43322</v>
      </c>
      <c r="B183" s="15">
        <v>43339</v>
      </c>
      <c r="C183" s="15">
        <v>43349</v>
      </c>
      <c r="D183" s="13">
        <v>88599.072</v>
      </c>
      <c r="E183" s="13">
        <v>30964.975578000001</v>
      </c>
      <c r="F183" s="13">
        <v>7021.2741174256498</v>
      </c>
      <c r="G183" s="13">
        <v>8833.7782089473512</v>
      </c>
      <c r="H183" s="13">
        <v>361.47021512619102</v>
      </c>
    </row>
    <row r="184" spans="1:8" x14ac:dyDescent="0.25">
      <c r="A184" s="15">
        <v>43332</v>
      </c>
      <c r="B184" s="15">
        <v>43350</v>
      </c>
      <c r="C184" s="15">
        <v>43363</v>
      </c>
      <c r="D184" s="13">
        <v>91207.222999999998</v>
      </c>
      <c r="E184" s="13">
        <v>36256.472390000003</v>
      </c>
      <c r="F184" s="13">
        <v>6058.9964156013948</v>
      </c>
      <c r="G184" s="13">
        <v>7589.6805452633371</v>
      </c>
      <c r="H184" s="13">
        <v>347.52137908546069</v>
      </c>
    </row>
    <row r="185" spans="1:8" x14ac:dyDescent="0.25">
      <c r="A185" s="15">
        <v>43350</v>
      </c>
      <c r="B185" s="15">
        <v>43364</v>
      </c>
      <c r="C185" s="15">
        <v>43377</v>
      </c>
      <c r="D185" s="13">
        <v>89736.601999999999</v>
      </c>
      <c r="E185" s="13">
        <v>37970.746498</v>
      </c>
      <c r="F185" s="13">
        <v>5431.2896472142629</v>
      </c>
      <c r="G185" s="13">
        <v>6949.8974026658525</v>
      </c>
      <c r="H185" s="13">
        <v>352.97137360396465</v>
      </c>
    </row>
    <row r="186" spans="1:8" x14ac:dyDescent="0.25">
      <c r="A186" s="15">
        <v>43364</v>
      </c>
      <c r="B186" s="15">
        <v>43378</v>
      </c>
      <c r="C186" s="15">
        <v>43391</v>
      </c>
      <c r="D186" s="13">
        <v>89582.312999999995</v>
      </c>
      <c r="E186" s="13">
        <v>39145.21</v>
      </c>
      <c r="F186" s="13">
        <v>5529.0480322718404</v>
      </c>
      <c r="G186" s="13">
        <v>6704.27035085443</v>
      </c>
      <c r="H186" s="13">
        <v>361.34163492611998</v>
      </c>
    </row>
    <row r="187" spans="1:8" x14ac:dyDescent="0.25">
      <c r="A187" s="15">
        <v>43378</v>
      </c>
      <c r="B187" s="15">
        <v>43392</v>
      </c>
      <c r="C187" s="15">
        <v>43405</v>
      </c>
      <c r="D187" s="13">
        <v>88756.89</v>
      </c>
      <c r="E187" s="13">
        <v>36340.904999999999</v>
      </c>
      <c r="F187" s="13">
        <v>6242.3855595067598</v>
      </c>
      <c r="G187" s="13">
        <v>6838.9027288835496</v>
      </c>
      <c r="H187" s="13">
        <v>363.24161428870701</v>
      </c>
    </row>
    <row r="188" spans="1:8" x14ac:dyDescent="0.25">
      <c r="A188" s="15">
        <v>43392</v>
      </c>
      <c r="B188" s="15">
        <v>43406</v>
      </c>
      <c r="C188" s="15">
        <v>43419</v>
      </c>
      <c r="D188" s="13">
        <v>89346.668999999994</v>
      </c>
      <c r="E188" s="13">
        <v>36456.393640000002</v>
      </c>
      <c r="F188" s="13">
        <v>6988.3679085231543</v>
      </c>
      <c r="G188" s="13">
        <v>7484.2182367498062</v>
      </c>
      <c r="H188" s="13">
        <v>380.78829012234888</v>
      </c>
    </row>
    <row r="189" spans="1:8" x14ac:dyDescent="0.25">
      <c r="A189" s="15">
        <v>43406</v>
      </c>
      <c r="B189" s="15">
        <v>43420</v>
      </c>
      <c r="C189" s="15">
        <v>43433</v>
      </c>
      <c r="D189" s="13">
        <v>87944.501999999993</v>
      </c>
      <c r="E189" s="13">
        <v>31354.127</v>
      </c>
      <c r="F189" s="13">
        <v>7713.6757899772201</v>
      </c>
      <c r="G189" s="13">
        <v>7948.17914875508</v>
      </c>
      <c r="H189" s="13">
        <v>380.89078343064602</v>
      </c>
    </row>
    <row r="190" spans="1:8" x14ac:dyDescent="0.25">
      <c r="A190" s="15">
        <v>43420</v>
      </c>
      <c r="B190" s="15">
        <v>43434</v>
      </c>
      <c r="C190" s="15">
        <v>43447</v>
      </c>
      <c r="D190" s="13">
        <v>89297.901999999987</v>
      </c>
      <c r="E190" s="13">
        <v>31359.892489999998</v>
      </c>
      <c r="F190" s="13">
        <v>8293.4284869338862</v>
      </c>
      <c r="G190" s="13">
        <v>8104.0680004135056</v>
      </c>
      <c r="H190" s="13">
        <v>388.87071651025281</v>
      </c>
    </row>
    <row r="191" spans="1:8" x14ac:dyDescent="0.25">
      <c r="A191" s="15">
        <v>43434</v>
      </c>
      <c r="B191" s="15">
        <v>43448</v>
      </c>
      <c r="C191" s="15">
        <v>43461</v>
      </c>
      <c r="D191" s="13">
        <v>86459.702999999994</v>
      </c>
      <c r="E191" s="13">
        <v>29656.418000000001</v>
      </c>
      <c r="F191" s="13">
        <v>8365.9739903499594</v>
      </c>
      <c r="G191" s="13">
        <v>8326.8968630654599</v>
      </c>
      <c r="H191" s="13">
        <v>404.71666623220199</v>
      </c>
    </row>
    <row r="192" spans="1:8" x14ac:dyDescent="0.25">
      <c r="A192" s="15">
        <v>43448</v>
      </c>
      <c r="B192" s="15">
        <v>43462</v>
      </c>
      <c r="C192" s="15">
        <v>43475</v>
      </c>
      <c r="D192" s="13">
        <v>87827.032999999996</v>
      </c>
      <c r="E192" s="13">
        <v>28869.34548</v>
      </c>
      <c r="F192" s="13">
        <v>8632.3916074052704</v>
      </c>
      <c r="G192" s="13">
        <v>8262.4762128335115</v>
      </c>
      <c r="H192" s="13">
        <v>417.25748986564105</v>
      </c>
    </row>
    <row r="193" spans="1:8" x14ac:dyDescent="0.25">
      <c r="A193" s="15">
        <v>43462</v>
      </c>
      <c r="B193" s="15">
        <v>43476</v>
      </c>
      <c r="C193" s="15">
        <v>43489</v>
      </c>
      <c r="D193" s="13">
        <v>87062.042000000001</v>
      </c>
      <c r="E193" s="13">
        <v>28161.712090000001</v>
      </c>
      <c r="F193" s="13">
        <v>8654.2272344155299</v>
      </c>
      <c r="G193" s="13">
        <v>8445.8617033926112</v>
      </c>
      <c r="H193" s="13">
        <v>425.88087055146394</v>
      </c>
    </row>
    <row r="194" spans="1:8" x14ac:dyDescent="0.25">
      <c r="A194" s="15">
        <v>43476</v>
      </c>
      <c r="B194" s="15">
        <v>43490</v>
      </c>
      <c r="C194" s="15">
        <v>43503</v>
      </c>
      <c r="D194" s="13">
        <v>82911.705000000002</v>
      </c>
      <c r="E194" s="13">
        <v>24258.482637000001</v>
      </c>
      <c r="F194" s="13">
        <v>8898.1973446672837</v>
      </c>
      <c r="G194" s="13">
        <v>8000.468366739824</v>
      </c>
      <c r="H194" s="13">
        <v>429.23925305606758</v>
      </c>
    </row>
    <row r="195" spans="1:8" x14ac:dyDescent="0.25">
      <c r="A195" s="15">
        <v>43490</v>
      </c>
      <c r="B195" s="15">
        <v>43504</v>
      </c>
      <c r="C195" s="15">
        <v>43517</v>
      </c>
      <c r="D195" s="13">
        <v>82626.347999999998</v>
      </c>
      <c r="E195" s="13">
        <v>24783.105196</v>
      </c>
      <c r="F195" s="13">
        <v>8943.0181531396483</v>
      </c>
      <c r="G195" s="13">
        <v>8195.4759029265897</v>
      </c>
      <c r="H195" s="13">
        <v>431.48365910436434</v>
      </c>
    </row>
    <row r="196" spans="1:8" x14ac:dyDescent="0.25">
      <c r="A196" s="15">
        <v>43504</v>
      </c>
      <c r="B196" s="15">
        <v>43518</v>
      </c>
      <c r="C196" s="15">
        <v>43531</v>
      </c>
      <c r="D196" s="13">
        <v>70226.866999999998</v>
      </c>
      <c r="E196" s="13">
        <v>20149.523091999999</v>
      </c>
      <c r="F196" s="13">
        <v>7726.60593714675</v>
      </c>
      <c r="G196" s="13">
        <v>7161.7986679173009</v>
      </c>
      <c r="H196" s="13">
        <v>441.31509400093915</v>
      </c>
    </row>
    <row r="197" spans="1:8" x14ac:dyDescent="0.25">
      <c r="A197" s="15">
        <v>43518</v>
      </c>
      <c r="B197" s="15">
        <v>43532</v>
      </c>
      <c r="C197" s="15">
        <v>43545</v>
      </c>
      <c r="D197" s="13">
        <v>71236.661999999997</v>
      </c>
      <c r="E197" s="13">
        <v>19974.980026000001</v>
      </c>
      <c r="F197" s="13">
        <v>7678.9408408113522</v>
      </c>
      <c r="G197" s="13">
        <v>7297.9697204945205</v>
      </c>
      <c r="H197" s="13">
        <v>511.37015438953347</v>
      </c>
    </row>
    <row r="198" spans="1:8" x14ac:dyDescent="0.25">
      <c r="A198" s="15">
        <v>43532</v>
      </c>
      <c r="B198" s="15">
        <v>43546</v>
      </c>
      <c r="C198" s="15">
        <v>43559</v>
      </c>
      <c r="D198" s="13">
        <v>71045.517000000007</v>
      </c>
      <c r="E198" s="13">
        <v>21168.815667999999</v>
      </c>
      <c r="F198" s="13">
        <v>7533.86256191344</v>
      </c>
      <c r="G198" s="13">
        <v>7133.3701781751497</v>
      </c>
      <c r="H198" s="13">
        <v>523.90301110340795</v>
      </c>
    </row>
    <row r="199" spans="1:8" x14ac:dyDescent="0.25">
      <c r="A199" s="15">
        <v>43546</v>
      </c>
      <c r="B199" s="15">
        <v>43560</v>
      </c>
      <c r="C199" s="15">
        <v>43573</v>
      </c>
      <c r="D199" s="13">
        <v>72923.225000000006</v>
      </c>
      <c r="E199" s="13">
        <v>20718.402617</v>
      </c>
      <c r="F199" s="13">
        <v>7660.6815324797753</v>
      </c>
      <c r="G199" s="13">
        <v>7291.0652982850706</v>
      </c>
      <c r="H199" s="13">
        <v>568.28576792913316</v>
      </c>
    </row>
    <row r="200" spans="1:8" x14ac:dyDescent="0.25">
      <c r="A200" s="15">
        <v>43560</v>
      </c>
      <c r="B200" s="15">
        <v>43574</v>
      </c>
      <c r="C200" s="15">
        <v>43587</v>
      </c>
      <c r="D200" s="13">
        <v>71035.963000000003</v>
      </c>
      <c r="E200" s="13">
        <v>18939.395712000001</v>
      </c>
      <c r="F200" s="13">
        <v>7197.82804734817</v>
      </c>
      <c r="G200" s="13">
        <v>6875.3902452725197</v>
      </c>
      <c r="H200" s="13">
        <v>590.15918468225095</v>
      </c>
    </row>
    <row r="201" spans="1:8" x14ac:dyDescent="0.25">
      <c r="A201" s="15">
        <v>43574</v>
      </c>
      <c r="B201" s="15">
        <v>43588</v>
      </c>
      <c r="C201" s="15">
        <v>43601</v>
      </c>
      <c r="D201" s="41">
        <v>73432.168000000005</v>
      </c>
      <c r="E201" s="41">
        <v>19544.750824210001</v>
      </c>
      <c r="F201" s="41">
        <v>7279.1300394677073</v>
      </c>
      <c r="G201" s="41">
        <v>6857.917869195915</v>
      </c>
      <c r="H201" s="41">
        <v>612.7643886049317</v>
      </c>
    </row>
    <row r="202" spans="1:8" x14ac:dyDescent="0.25">
      <c r="A202" s="15">
        <v>43588</v>
      </c>
      <c r="B202" s="15">
        <v>43602</v>
      </c>
      <c r="C202" s="15">
        <v>43615</v>
      </c>
      <c r="D202" s="41">
        <v>71535.831000000006</v>
      </c>
      <c r="E202" s="41">
        <v>26021.488219999999</v>
      </c>
      <c r="F202" s="41">
        <v>4176.249353181146</v>
      </c>
      <c r="G202" s="41">
        <v>6550.5494611559861</v>
      </c>
      <c r="H202" s="41">
        <v>610.68769709358719</v>
      </c>
    </row>
    <row r="203" spans="1:8" x14ac:dyDescent="0.25">
      <c r="A203" s="15">
        <v>43602</v>
      </c>
      <c r="B203" s="15">
        <v>43616</v>
      </c>
      <c r="C203" s="15">
        <v>43629</v>
      </c>
      <c r="D203" s="41">
        <v>71436.84</v>
      </c>
      <c r="E203" s="41">
        <v>25501.247792999999</v>
      </c>
      <c r="F203" s="41">
        <v>4173.0543730985801</v>
      </c>
      <c r="G203" s="41">
        <v>6512.326240804</v>
      </c>
      <c r="H203" s="41">
        <v>645.46357555672796</v>
      </c>
    </row>
    <row r="204" spans="1:8" x14ac:dyDescent="0.25">
      <c r="A204" s="15">
        <v>43616</v>
      </c>
      <c r="B204" s="15">
        <v>43630</v>
      </c>
      <c r="C204" s="15">
        <v>43643</v>
      </c>
      <c r="D204" s="41">
        <v>71417.178</v>
      </c>
      <c r="E204" s="41">
        <v>25812.777907</v>
      </c>
      <c r="F204" s="41">
        <v>4291.9438842056043</v>
      </c>
      <c r="G204" s="41">
        <v>6525.248860054272</v>
      </c>
      <c r="H204" s="41">
        <v>646.28073023761692</v>
      </c>
    </row>
    <row r="205" spans="1:8" x14ac:dyDescent="0.25">
      <c r="A205" s="15">
        <v>43630</v>
      </c>
      <c r="B205" s="15">
        <v>43644</v>
      </c>
      <c r="C205" s="15">
        <v>43657</v>
      </c>
      <c r="D205" s="41">
        <v>70921.202999999994</v>
      </c>
      <c r="E205" s="41">
        <v>24748.56611</v>
      </c>
      <c r="F205" s="41">
        <v>4328.4478990547204</v>
      </c>
      <c r="G205" s="41">
        <v>6696.0490756864301</v>
      </c>
      <c r="H205" s="41">
        <v>695.719131533677</v>
      </c>
    </row>
    <row r="206" spans="1:8" x14ac:dyDescent="0.25">
      <c r="A206" s="15">
        <v>43644</v>
      </c>
      <c r="B206" s="15">
        <v>43658</v>
      </c>
      <c r="C206" s="15">
        <v>43671</v>
      </c>
      <c r="D206" s="41">
        <v>70469.553</v>
      </c>
      <c r="E206" s="41">
        <v>24549.685471000001</v>
      </c>
      <c r="F206" s="41">
        <v>4477.7724482656204</v>
      </c>
      <c r="G206" s="41">
        <v>6803.6106140484699</v>
      </c>
      <c r="H206" s="41">
        <v>724.12421440654896</v>
      </c>
    </row>
    <row r="207" spans="1:8" x14ac:dyDescent="0.25">
      <c r="A207" s="15">
        <v>43658</v>
      </c>
      <c r="B207" s="15">
        <v>43672</v>
      </c>
      <c r="C207" s="15">
        <v>43685</v>
      </c>
      <c r="D207" s="41">
        <v>71154.95199999999</v>
      </c>
      <c r="E207" s="41">
        <v>25925.211900999999</v>
      </c>
      <c r="F207" s="41">
        <v>4430.3526232276708</v>
      </c>
      <c r="G207" s="41">
        <v>6800.0199821885117</v>
      </c>
      <c r="H207" s="41">
        <v>733.44354651068579</v>
      </c>
    </row>
    <row r="208" spans="1:8" x14ac:dyDescent="0.25">
      <c r="A208" s="15">
        <v>43672</v>
      </c>
      <c r="B208" s="15">
        <v>43686</v>
      </c>
      <c r="C208" s="15">
        <v>43699</v>
      </c>
      <c r="D208" s="41">
        <v>72355.501000000004</v>
      </c>
      <c r="E208" s="41">
        <v>25801.528965000001</v>
      </c>
      <c r="F208" s="41">
        <v>4562.3412258942499</v>
      </c>
      <c r="G208" s="41">
        <v>6793.6066414698598</v>
      </c>
      <c r="H208" s="41">
        <v>752.05466647820504</v>
      </c>
    </row>
    <row r="209" spans="1:8" x14ac:dyDescent="0.25">
      <c r="A209" s="15">
        <v>43686</v>
      </c>
      <c r="B209" s="15">
        <v>43700</v>
      </c>
      <c r="C209" s="15">
        <v>43713</v>
      </c>
      <c r="D209" s="41">
        <v>57494.945</v>
      </c>
      <c r="E209" s="41">
        <v>20740.932814</v>
      </c>
      <c r="F209" s="41">
        <v>3568.93380365448</v>
      </c>
      <c r="G209" s="41">
        <v>5654.8165292421099</v>
      </c>
      <c r="H209" s="41">
        <v>586.03904058852402</v>
      </c>
    </row>
    <row r="210" spans="1:8" x14ac:dyDescent="0.25">
      <c r="A210" s="15">
        <v>43700</v>
      </c>
      <c r="B210" s="15">
        <v>43714</v>
      </c>
      <c r="C210" s="15">
        <v>43727</v>
      </c>
      <c r="D210" s="41">
        <v>56869.99</v>
      </c>
      <c r="E210" s="41">
        <v>21016.429576999999</v>
      </c>
      <c r="F210" s="41">
        <v>3369.3139737737224</v>
      </c>
      <c r="G210" s="41">
        <v>5392.9379580926761</v>
      </c>
      <c r="H210" s="41">
        <v>590.58413055722201</v>
      </c>
    </row>
    <row r="211" spans="1:8" x14ac:dyDescent="0.25">
      <c r="A211" s="15">
        <v>43714</v>
      </c>
      <c r="B211" s="15">
        <v>43728</v>
      </c>
      <c r="C211" s="15">
        <v>43741</v>
      </c>
      <c r="D211" s="41">
        <v>56923.811000000002</v>
      </c>
      <c r="E211" s="41">
        <v>20906.108292000001</v>
      </c>
      <c r="F211" s="41">
        <v>3403.6024862278227</v>
      </c>
      <c r="G211" s="41">
        <v>5437.6884425307207</v>
      </c>
      <c r="H211" s="41">
        <v>601.53418157449767</v>
      </c>
    </row>
    <row r="212" spans="1:8" x14ac:dyDescent="0.25">
      <c r="A212" s="15">
        <v>43728</v>
      </c>
      <c r="B212" s="15">
        <v>43742</v>
      </c>
      <c r="C212" s="15">
        <v>43755</v>
      </c>
      <c r="D212" s="41">
        <v>57727.396000000001</v>
      </c>
      <c r="E212" s="41">
        <v>20738.477525999999</v>
      </c>
      <c r="F212" s="41">
        <v>3518.1815307574711</v>
      </c>
      <c r="G212" s="41">
        <v>5475.152053244331</v>
      </c>
      <c r="H212" s="41">
        <v>602.192509548207</v>
      </c>
    </row>
    <row r="213" spans="1:8" x14ac:dyDescent="0.25">
      <c r="A213" s="15">
        <v>43742</v>
      </c>
      <c r="B213" s="15">
        <v>43756</v>
      </c>
      <c r="C213" s="15">
        <v>43769</v>
      </c>
      <c r="D213" s="41">
        <v>57254.163</v>
      </c>
      <c r="E213" s="41">
        <v>20426.356078000001</v>
      </c>
      <c r="F213" s="41">
        <v>3392.6312310615622</v>
      </c>
      <c r="G213" s="41">
        <v>5427.3574842226253</v>
      </c>
      <c r="H213" s="41">
        <v>627.79797492575551</v>
      </c>
    </row>
    <row r="214" spans="1:8" x14ac:dyDescent="0.25">
      <c r="A214" s="15">
        <v>43756</v>
      </c>
      <c r="B214" s="15">
        <v>43770</v>
      </c>
      <c r="C214" s="15">
        <v>43783</v>
      </c>
      <c r="D214" s="41">
        <v>54260.953000000001</v>
      </c>
      <c r="E214" s="41">
        <v>19849.038874999998</v>
      </c>
      <c r="F214" s="41">
        <v>3200.0888616799798</v>
      </c>
      <c r="G214" s="41">
        <v>4867.4642342965999</v>
      </c>
      <c r="H214" s="41">
        <v>620.75693112674105</v>
      </c>
    </row>
    <row r="215" spans="1:8" x14ac:dyDescent="0.25">
      <c r="A215" s="15">
        <v>43770</v>
      </c>
      <c r="B215" s="15">
        <v>43784</v>
      </c>
      <c r="C215" s="15">
        <v>43797</v>
      </c>
      <c r="D215" s="41">
        <v>53886.879999999997</v>
      </c>
      <c r="E215" s="41">
        <v>19337.621622999999</v>
      </c>
      <c r="F215" s="41">
        <v>3320.1007453011584</v>
      </c>
      <c r="G215" s="41">
        <v>4949.4184394104486</v>
      </c>
      <c r="H215" s="41">
        <v>633.24713072495229</v>
      </c>
    </row>
    <row r="216" spans="1:8" x14ac:dyDescent="0.25">
      <c r="A216" s="15">
        <v>43784</v>
      </c>
      <c r="B216" s="15">
        <v>43798</v>
      </c>
      <c r="C216" s="15">
        <v>43811</v>
      </c>
      <c r="D216" s="41">
        <v>50816.640999999996</v>
      </c>
      <c r="E216" s="41">
        <v>17237.452850000001</v>
      </c>
      <c r="F216" s="41">
        <v>3098.5203607352796</v>
      </c>
      <c r="G216" s="41">
        <v>4707.9529292153566</v>
      </c>
      <c r="H216" s="41">
        <v>636.64491929999042</v>
      </c>
    </row>
    <row r="217" spans="1:8" x14ac:dyDescent="0.25">
      <c r="A217" s="15">
        <v>43798</v>
      </c>
      <c r="B217" s="15">
        <v>43812</v>
      </c>
      <c r="C217" s="15">
        <v>43825</v>
      </c>
      <c r="D217" s="41">
        <v>43392.29</v>
      </c>
      <c r="E217" s="41">
        <v>15568.535322</v>
      </c>
      <c r="F217" s="41">
        <v>2693.7236606255929</v>
      </c>
      <c r="G217" s="41">
        <v>3997.7513848191188</v>
      </c>
      <c r="H217" s="41">
        <v>606.30261707316663</v>
      </c>
    </row>
    <row r="218" spans="1:8" x14ac:dyDescent="0.25">
      <c r="A218" s="15">
        <v>43812</v>
      </c>
      <c r="B218" s="15">
        <v>43826</v>
      </c>
      <c r="C218" s="15">
        <v>43839</v>
      </c>
      <c r="D218" s="41">
        <v>45804.582999999999</v>
      </c>
      <c r="E218" s="41">
        <v>15553.356766999999</v>
      </c>
      <c r="F218" s="41">
        <v>2799.9387164785308</v>
      </c>
      <c r="G218" s="41">
        <v>4189.2824899019124</v>
      </c>
      <c r="H218" s="41">
        <v>646.25965748340366</v>
      </c>
    </row>
    <row r="219" spans="1:8" x14ac:dyDescent="0.25">
      <c r="A219" s="15">
        <v>43826</v>
      </c>
      <c r="B219" s="15">
        <v>43840</v>
      </c>
      <c r="C219" s="15">
        <v>43853</v>
      </c>
      <c r="D219" s="41">
        <v>47410.549000000006</v>
      </c>
      <c r="E219" s="41">
        <v>16395.294561999999</v>
      </c>
      <c r="F219" s="41">
        <v>2750.1361793485717</v>
      </c>
      <c r="G219" s="41">
        <v>4242.2460785583798</v>
      </c>
      <c r="H219" s="41">
        <v>654.41903920285029</v>
      </c>
    </row>
    <row r="220" spans="1:8" x14ac:dyDescent="0.25">
      <c r="A220" s="15">
        <v>43840</v>
      </c>
      <c r="B220" s="15">
        <v>43854</v>
      </c>
      <c r="C220" s="15">
        <v>43867</v>
      </c>
      <c r="D220" s="41">
        <v>48104.106999999996</v>
      </c>
      <c r="E220" s="41">
        <v>19824.392091000002</v>
      </c>
      <c r="F220" s="41">
        <v>2869.5813026644441</v>
      </c>
      <c r="G220" s="41">
        <v>2652.9830716799866</v>
      </c>
      <c r="H220" s="41">
        <v>769.349415918408</v>
      </c>
    </row>
    <row r="221" spans="1:8" x14ac:dyDescent="0.25">
      <c r="A221" s="15">
        <v>43854</v>
      </c>
      <c r="B221" s="15">
        <v>43868</v>
      </c>
      <c r="C221" s="15">
        <v>43881</v>
      </c>
      <c r="D221" s="41">
        <v>49474.411</v>
      </c>
      <c r="E221" s="41">
        <v>20843.041689000001</v>
      </c>
      <c r="F221" s="41">
        <v>2914.2626612759345</v>
      </c>
      <c r="G221" s="41">
        <v>2629.4746368098604</v>
      </c>
      <c r="H221" s="41">
        <v>799.47580442310436</v>
      </c>
    </row>
    <row r="222" spans="1:8" x14ac:dyDescent="0.25">
      <c r="A222" s="15">
        <v>43868</v>
      </c>
      <c r="B222" s="15">
        <v>43882</v>
      </c>
      <c r="C222" s="15">
        <v>43895</v>
      </c>
      <c r="D222" s="41">
        <v>54432.434000000001</v>
      </c>
      <c r="E222" s="41">
        <v>22791.786326000001</v>
      </c>
      <c r="F222" s="41">
        <v>3194.5058922952339</v>
      </c>
      <c r="G222" s="41">
        <v>2880.2310200098295</v>
      </c>
      <c r="H222" s="41">
        <v>822.95580848798875</v>
      </c>
    </row>
    <row r="223" spans="1:8" x14ac:dyDescent="0.25">
      <c r="A223" s="15">
        <v>43882</v>
      </c>
      <c r="B223" s="15">
        <v>43896</v>
      </c>
      <c r="C223" s="15">
        <v>43909</v>
      </c>
      <c r="D223" s="41">
        <v>62188.161</v>
      </c>
      <c r="E223" s="41">
        <v>26678.093644</v>
      </c>
      <c r="F223" s="41">
        <v>3527.4421585738532</v>
      </c>
      <c r="G223" s="41">
        <v>3279.3290274083042</v>
      </c>
      <c r="H223" s="41">
        <v>830.89202715885597</v>
      </c>
    </row>
    <row r="224" spans="1:8" x14ac:dyDescent="0.25">
      <c r="A224" s="15">
        <v>43896</v>
      </c>
      <c r="B224" s="15">
        <v>43910</v>
      </c>
      <c r="C224" s="15">
        <v>43923</v>
      </c>
      <c r="D224" s="41">
        <v>60519.782999999996</v>
      </c>
      <c r="E224" s="41">
        <v>25825.240091</v>
      </c>
      <c r="F224" s="41">
        <v>3415.8320039810433</v>
      </c>
      <c r="G224" s="41">
        <v>3206.780978957413</v>
      </c>
      <c r="H224" s="41">
        <v>799.26314581041072</v>
      </c>
    </row>
    <row r="225" spans="1:8" x14ac:dyDescent="0.25">
      <c r="A225" s="15">
        <v>43910</v>
      </c>
      <c r="B225" s="15">
        <v>43924</v>
      </c>
      <c r="C225" s="15">
        <v>43937</v>
      </c>
      <c r="D225" s="41">
        <v>61743.178</v>
      </c>
      <c r="E225" s="41">
        <v>26887.561245000001</v>
      </c>
      <c r="F225" s="41">
        <v>3316.2388749012807</v>
      </c>
      <c r="G225" s="41">
        <v>2987.8347726138368</v>
      </c>
      <c r="H225" s="41">
        <v>731.46793852345127</v>
      </c>
    </row>
    <row r="226" spans="1:8" x14ac:dyDescent="0.25">
      <c r="A226" s="15">
        <v>43924</v>
      </c>
      <c r="B226" s="15">
        <v>43938</v>
      </c>
      <c r="C226" s="15">
        <v>43954</v>
      </c>
      <c r="D226" s="41">
        <v>58642.824000000001</v>
      </c>
      <c r="E226" s="41">
        <v>25402.465171</v>
      </c>
      <c r="F226" s="41">
        <v>3060.3628785523315</v>
      </c>
      <c r="G226" s="41">
        <v>2752.1843971427857</v>
      </c>
      <c r="H226" s="41">
        <v>767.67875297495937</v>
      </c>
    </row>
    <row r="227" spans="1:8" x14ac:dyDescent="0.25">
      <c r="A227" s="15">
        <v>43938</v>
      </c>
      <c r="B227" s="15">
        <v>43955</v>
      </c>
      <c r="C227" s="15">
        <v>43965</v>
      </c>
      <c r="D227" s="41">
        <v>60209.710999999996</v>
      </c>
      <c r="E227" s="41">
        <v>27432.338352999999</v>
      </c>
      <c r="F227" s="41">
        <v>2982.4720398171357</v>
      </c>
      <c r="G227" s="41">
        <v>2656.096626162815</v>
      </c>
      <c r="H227" s="41">
        <v>805.24966944779692</v>
      </c>
    </row>
    <row r="228" spans="1:8" x14ac:dyDescent="0.25">
      <c r="A228" s="15">
        <v>43951</v>
      </c>
      <c r="B228" s="15">
        <v>43966</v>
      </c>
      <c r="C228" s="15">
        <v>43979</v>
      </c>
      <c r="D228" s="41">
        <v>54727.091999999997</v>
      </c>
      <c r="E228" s="41">
        <v>25436.747425000001</v>
      </c>
      <c r="F228" s="41">
        <v>2545.3710119702514</v>
      </c>
      <c r="G228" s="41">
        <v>2334.2574097948341</v>
      </c>
      <c r="H228" s="41">
        <v>678.63035833978461</v>
      </c>
    </row>
    <row r="229" spans="1:8" x14ac:dyDescent="0.25">
      <c r="A229" s="15">
        <v>43966</v>
      </c>
      <c r="B229" s="15">
        <v>43980</v>
      </c>
      <c r="C229" s="15">
        <v>43993</v>
      </c>
      <c r="D229" s="41">
        <v>55484.025999999998</v>
      </c>
      <c r="E229" s="41">
        <v>25421.456135</v>
      </c>
      <c r="F229" s="41">
        <v>2635.4104291147787</v>
      </c>
      <c r="G229" s="41">
        <v>2349.2758123646308</v>
      </c>
      <c r="H229" s="41">
        <v>688.44514414484297</v>
      </c>
    </row>
    <row r="230" spans="1:8" x14ac:dyDescent="0.25">
      <c r="A230" s="15">
        <v>43980</v>
      </c>
      <c r="B230" s="15">
        <v>43994</v>
      </c>
      <c r="C230" s="15">
        <v>44007</v>
      </c>
      <c r="D230" s="41">
        <v>56060.291999999994</v>
      </c>
      <c r="E230" s="41">
        <v>25779.899809999999</v>
      </c>
      <c r="F230" s="41">
        <v>2683.2354215955752</v>
      </c>
      <c r="G230" s="41">
        <v>2440.5110962002113</v>
      </c>
      <c r="H230" s="41">
        <v>694.03265943681902</v>
      </c>
    </row>
    <row r="231" spans="1:8" x14ac:dyDescent="0.25">
      <c r="A231" s="15">
        <v>43994</v>
      </c>
      <c r="B231" s="15">
        <v>44008</v>
      </c>
      <c r="C231" s="15">
        <v>44021</v>
      </c>
      <c r="D231" s="41">
        <v>54844.743000000002</v>
      </c>
      <c r="E231" s="41">
        <v>24920.961578999999</v>
      </c>
      <c r="F231" s="41">
        <v>2675.27267767995</v>
      </c>
      <c r="G231" s="41">
        <v>2428.9683951007601</v>
      </c>
      <c r="H231" s="41">
        <v>697.459684420131</v>
      </c>
    </row>
    <row r="232" spans="1:8" x14ac:dyDescent="0.25">
      <c r="A232" s="15">
        <v>44008</v>
      </c>
      <c r="B232" s="15">
        <v>44022</v>
      </c>
      <c r="C232" s="15">
        <v>44035</v>
      </c>
      <c r="D232" s="41">
        <v>49447.741000000002</v>
      </c>
      <c r="E232" s="41">
        <v>24091.533157999998</v>
      </c>
      <c r="F232" s="41">
        <v>2267.2889183319985</v>
      </c>
      <c r="G232" s="41">
        <v>1998.4818596037946</v>
      </c>
      <c r="H232" s="41">
        <v>611.40460128577809</v>
      </c>
    </row>
    <row r="233" spans="1:8" x14ac:dyDescent="0.25">
      <c r="A233" s="15">
        <v>44022</v>
      </c>
      <c r="B233" s="15">
        <v>44036</v>
      </c>
      <c r="C233" s="15">
        <v>44049</v>
      </c>
      <c r="D233" s="41">
        <v>49437.271999999997</v>
      </c>
      <c r="E233" s="41">
        <v>29803.166744999999</v>
      </c>
      <c r="F233" s="41">
        <v>1892.3190751370792</v>
      </c>
      <c r="G233" s="41">
        <v>1545.7332720817046</v>
      </c>
      <c r="H233" s="41">
        <v>461.68567814814025</v>
      </c>
    </row>
    <row r="234" spans="1:8" x14ac:dyDescent="0.25">
      <c r="A234" s="15">
        <v>44036</v>
      </c>
      <c r="B234" s="15">
        <v>44050</v>
      </c>
      <c r="C234" s="15">
        <v>44063</v>
      </c>
      <c r="D234" s="41">
        <v>43778.036999999997</v>
      </c>
      <c r="E234" s="41">
        <v>26042.837944999999</v>
      </c>
      <c r="F234" s="41">
        <v>1572.9362920880801</v>
      </c>
      <c r="G234" s="41">
        <v>1270.81109191827</v>
      </c>
      <c r="H234" s="41">
        <v>476.54153034283502</v>
      </c>
    </row>
    <row r="235" spans="1:8" x14ac:dyDescent="0.25">
      <c r="A235" s="15">
        <v>44050</v>
      </c>
      <c r="B235" s="15">
        <v>44064</v>
      </c>
      <c r="C235" s="15">
        <v>44077</v>
      </c>
      <c r="D235" s="41">
        <v>39657.748</v>
      </c>
      <c r="E235" s="41">
        <v>23297.981836999999</v>
      </c>
      <c r="F235" s="41">
        <v>1366.7992792420209</v>
      </c>
      <c r="G235" s="41">
        <v>993.44037614064655</v>
      </c>
      <c r="H235" s="41">
        <v>484.25102876451541</v>
      </c>
    </row>
    <row r="236" spans="1:8" x14ac:dyDescent="0.25">
      <c r="A236" s="15">
        <v>44064</v>
      </c>
      <c r="B236" s="15">
        <v>44078</v>
      </c>
      <c r="C236" s="15">
        <v>44091</v>
      </c>
      <c r="D236" s="41">
        <v>65047.565000000002</v>
      </c>
      <c r="E236" s="41">
        <v>38391.670496000006</v>
      </c>
      <c r="F236" s="41">
        <v>2274.493640393629</v>
      </c>
      <c r="G236" s="41">
        <v>1552.2756200504705</v>
      </c>
      <c r="H236" s="41">
        <v>797.10498522215562</v>
      </c>
    </row>
    <row r="237" spans="1:8" x14ac:dyDescent="0.25">
      <c r="A237" s="15">
        <v>44078</v>
      </c>
      <c r="B237" s="15">
        <v>44092</v>
      </c>
      <c r="C237" s="15">
        <v>44105</v>
      </c>
      <c r="D237" s="41">
        <v>64654.371999999996</v>
      </c>
      <c r="E237" s="41">
        <v>36001.297671</v>
      </c>
      <c r="F237" s="41">
        <v>2260.4158383785434</v>
      </c>
      <c r="G237" s="41">
        <v>1725.9482462614292</v>
      </c>
      <c r="H237" s="41">
        <v>881.5997986483228</v>
      </c>
    </row>
    <row r="238" spans="1:8" x14ac:dyDescent="0.25">
      <c r="A238" s="15">
        <v>44092</v>
      </c>
      <c r="B238" s="15">
        <v>44106</v>
      </c>
      <c r="C238" s="15">
        <v>44119</v>
      </c>
      <c r="D238" s="41">
        <v>65515.59</v>
      </c>
      <c r="E238" s="41">
        <v>35893.451389000002</v>
      </c>
      <c r="F238" s="41">
        <v>2250.7947567555889</v>
      </c>
      <c r="G238" s="41">
        <v>1851.0364192834559</v>
      </c>
      <c r="H238" s="41">
        <v>896.84907535985485</v>
      </c>
    </row>
    <row r="239" spans="1:8" x14ac:dyDescent="0.25">
      <c r="A239" s="15">
        <v>44106</v>
      </c>
      <c r="B239" s="15">
        <v>44120</v>
      </c>
      <c r="C239" s="15">
        <v>44133</v>
      </c>
      <c r="D239" s="41">
        <v>61412.978000000003</v>
      </c>
      <c r="E239" s="41">
        <v>30965.379037000002</v>
      </c>
      <c r="F239" s="41">
        <v>2403.5265453613961</v>
      </c>
      <c r="G239" s="41">
        <v>1591.563194787456</v>
      </c>
      <c r="H239" s="41">
        <v>892.71577971261138</v>
      </c>
    </row>
    <row r="240" spans="1:8" x14ac:dyDescent="0.25">
      <c r="A240" s="15">
        <v>44120</v>
      </c>
      <c r="B240" s="15">
        <v>44134</v>
      </c>
      <c r="C240" s="15">
        <v>44147</v>
      </c>
      <c r="D240" s="41">
        <v>61456.966999999997</v>
      </c>
      <c r="E240" s="41">
        <v>31954.84375</v>
      </c>
      <c r="F240" s="41">
        <v>2381.24133515926</v>
      </c>
      <c r="G240" s="41">
        <v>1371.1422414061201</v>
      </c>
      <c r="H240" s="41">
        <v>874.69376163824495</v>
      </c>
    </row>
    <row r="241" spans="1:8" x14ac:dyDescent="0.25">
      <c r="A241" s="15">
        <v>44134</v>
      </c>
      <c r="B241" s="15">
        <v>44148</v>
      </c>
      <c r="C241" s="15">
        <v>44161</v>
      </c>
      <c r="D241" s="41">
        <v>60212.048999999999</v>
      </c>
      <c r="E241" s="41">
        <v>27886.161695999999</v>
      </c>
      <c r="F241" s="41">
        <v>2416.1663544935045</v>
      </c>
      <c r="G241" s="41">
        <v>1543.5528650533661</v>
      </c>
      <c r="H241" s="41">
        <v>841.12049232667107</v>
      </c>
    </row>
    <row r="242" spans="1:8" x14ac:dyDescent="0.25">
      <c r="A242" s="15">
        <v>44148</v>
      </c>
      <c r="B242" s="15">
        <v>44162</v>
      </c>
      <c r="C242" s="15">
        <v>44175</v>
      </c>
      <c r="D242" s="41">
        <v>59083.131000000001</v>
      </c>
      <c r="E242" s="41">
        <v>26492.011983</v>
      </c>
      <c r="F242" s="41">
        <v>2585.1693548078101</v>
      </c>
      <c r="G242" s="41">
        <v>1994.6161250194161</v>
      </c>
      <c r="H242" s="41">
        <v>858.33573469224211</v>
      </c>
    </row>
    <row r="243" spans="1:8" x14ac:dyDescent="0.25">
      <c r="A243" s="15">
        <v>44162</v>
      </c>
      <c r="B243" s="15">
        <v>44176</v>
      </c>
      <c r="C243" s="15">
        <v>44189</v>
      </c>
      <c r="D243" s="41">
        <v>58944.351000000002</v>
      </c>
      <c r="E243" s="41">
        <v>25984.526999999998</v>
      </c>
      <c r="F243" s="41">
        <v>2549.2211975912605</v>
      </c>
      <c r="G243" s="41">
        <v>1976.501210301667</v>
      </c>
      <c r="H243" s="41">
        <v>847.59298061618995</v>
      </c>
    </row>
    <row r="244" spans="1:8" x14ac:dyDescent="0.25">
      <c r="A244" s="15">
        <v>44176</v>
      </c>
      <c r="B244" s="15">
        <v>44190</v>
      </c>
      <c r="C244" s="15">
        <v>44203</v>
      </c>
      <c r="D244" s="41">
        <v>85784.192999999999</v>
      </c>
      <c r="E244" s="41">
        <v>40197.337</v>
      </c>
      <c r="F244" s="41">
        <v>3440.12491595133</v>
      </c>
      <c r="G244" s="41">
        <v>2752.55557148354</v>
      </c>
      <c r="H244" s="41">
        <v>1149.85721065897</v>
      </c>
    </row>
    <row r="245" spans="1:8" x14ac:dyDescent="0.25">
      <c r="A245" s="15">
        <v>44190</v>
      </c>
      <c r="B245" s="15">
        <v>44204</v>
      </c>
      <c r="C245" s="15">
        <v>44217</v>
      </c>
      <c r="D245" s="41">
        <v>88126.020999999993</v>
      </c>
      <c r="E245" s="41">
        <v>37292.400999999998</v>
      </c>
      <c r="F245" s="41">
        <v>4035.2168239784</v>
      </c>
      <c r="G245" s="41">
        <v>3399.48360737452</v>
      </c>
      <c r="H245" s="41">
        <v>1249.4277928961001</v>
      </c>
    </row>
    <row r="246" spans="1:8" x14ac:dyDescent="0.25">
      <c r="A246" s="15">
        <v>44204</v>
      </c>
      <c r="B246" s="15">
        <v>44218</v>
      </c>
      <c r="C246" s="15">
        <v>44231</v>
      </c>
      <c r="D246" s="41">
        <v>87115.747999999992</v>
      </c>
      <c r="E246" s="41">
        <v>35905.808970000006</v>
      </c>
      <c r="F246" s="41">
        <v>4059.6280152826162</v>
      </c>
      <c r="G246" s="41">
        <v>3615.1556095839846</v>
      </c>
      <c r="H246" s="41">
        <v>1299.0854261341067</v>
      </c>
    </row>
    <row r="247" spans="1:8" x14ac:dyDescent="0.25">
      <c r="A247" s="15">
        <v>44218</v>
      </c>
      <c r="B247" s="15">
        <v>44232</v>
      </c>
      <c r="C247" s="15">
        <v>44245</v>
      </c>
      <c r="D247" s="41">
        <v>88248.307000000001</v>
      </c>
      <c r="E247" s="41">
        <v>36655.815532000001</v>
      </c>
      <c r="F247" s="41">
        <v>4140.4447999038157</v>
      </c>
      <c r="G247" s="41">
        <v>3572.5853246590877</v>
      </c>
      <c r="H247" s="41">
        <v>1293.05951264077</v>
      </c>
    </row>
    <row r="248" spans="1:8" x14ac:dyDescent="0.25">
      <c r="A248" s="15">
        <v>44232</v>
      </c>
      <c r="B248" s="15">
        <v>44246</v>
      </c>
      <c r="C248" s="15">
        <v>44259</v>
      </c>
      <c r="D248" s="41">
        <v>88019.375</v>
      </c>
      <c r="E248" s="41">
        <v>36608.409166999998</v>
      </c>
      <c r="F248" s="41">
        <v>4391.8535166925303</v>
      </c>
      <c r="G248" s="41">
        <v>3758.0078081442716</v>
      </c>
      <c r="H248" s="41">
        <v>1304.0514005777366</v>
      </c>
    </row>
    <row r="249" spans="1:8" x14ac:dyDescent="0.25">
      <c r="A249" s="15">
        <v>44246</v>
      </c>
      <c r="B249" s="15">
        <v>44260</v>
      </c>
      <c r="C249" s="15">
        <v>44273</v>
      </c>
      <c r="D249" s="41">
        <v>120133.33500000001</v>
      </c>
      <c r="E249" s="41">
        <v>69238.618000000002</v>
      </c>
      <c r="F249" s="41">
        <v>3353.0814346613001</v>
      </c>
      <c r="G249" s="41">
        <v>3917.20323055265</v>
      </c>
      <c r="H249" s="41">
        <v>1456.0940586654399</v>
      </c>
    </row>
    <row r="250" spans="1:8" x14ac:dyDescent="0.25">
      <c r="A250" s="15">
        <v>44260</v>
      </c>
      <c r="B250" s="15">
        <v>44274</v>
      </c>
      <c r="C250" s="15">
        <v>44287</v>
      </c>
      <c r="D250" s="41">
        <v>120852.197</v>
      </c>
      <c r="E250" s="41">
        <v>69842.702936000002</v>
      </c>
      <c r="F250" s="41">
        <v>3182.794607423863</v>
      </c>
      <c r="G250" s="41">
        <v>3678.6345684313051</v>
      </c>
      <c r="H250" s="41">
        <v>1405.5362821767715</v>
      </c>
    </row>
    <row r="251" spans="1:8" x14ac:dyDescent="0.25">
      <c r="A251" s="15">
        <v>44274</v>
      </c>
      <c r="B251" s="15">
        <v>44288</v>
      </c>
      <c r="C251" s="15">
        <v>44301</v>
      </c>
      <c r="D251" s="41">
        <v>123174.38900000001</v>
      </c>
      <c r="E251" s="41">
        <v>70365.377617999999</v>
      </c>
      <c r="F251" s="41">
        <v>3133.1810768640885</v>
      </c>
      <c r="G251" s="41">
        <v>3719.2620821790556</v>
      </c>
      <c r="H251" s="41">
        <v>1402.1607279919356</v>
      </c>
    </row>
    <row r="252" spans="1:8" x14ac:dyDescent="0.25">
      <c r="A252" s="15">
        <v>44288</v>
      </c>
      <c r="B252" s="15">
        <v>44302</v>
      </c>
      <c r="C252" s="15">
        <v>44315</v>
      </c>
      <c r="D252" s="41">
        <v>126673.406</v>
      </c>
      <c r="E252" s="41">
        <v>72541.552061000009</v>
      </c>
      <c r="F252" s="41">
        <v>3090.236294909359</v>
      </c>
      <c r="G252" s="41">
        <v>3513.4431632387923</v>
      </c>
      <c r="H252" s="41">
        <v>1418.4048856106442</v>
      </c>
    </row>
    <row r="253" spans="1:8" x14ac:dyDescent="0.25">
      <c r="A253" s="15">
        <v>44302</v>
      </c>
      <c r="B253" s="15">
        <v>44316</v>
      </c>
      <c r="C253" s="15">
        <v>44332</v>
      </c>
      <c r="D253" s="41">
        <v>128390.773</v>
      </c>
      <c r="E253" s="41">
        <v>72979.655996999994</v>
      </c>
      <c r="F253" s="41">
        <v>3130.5589464164609</v>
      </c>
      <c r="G253" s="41">
        <v>3609.1436526423895</v>
      </c>
      <c r="H253" s="41">
        <v>1462.9738380141437</v>
      </c>
    </row>
    <row r="254" spans="1:8" x14ac:dyDescent="0.25">
      <c r="A254" s="15">
        <v>44316</v>
      </c>
      <c r="B254" s="15">
        <v>44333</v>
      </c>
      <c r="C254" s="15">
        <v>44343</v>
      </c>
      <c r="D254" s="41">
        <v>127567.389</v>
      </c>
      <c r="E254" s="41">
        <v>72374.926999999996</v>
      </c>
      <c r="F254" s="41">
        <v>3061.8575397155801</v>
      </c>
      <c r="G254" s="41">
        <v>3527.2414781039802</v>
      </c>
      <c r="H254" s="41">
        <v>1470.72609873539</v>
      </c>
    </row>
    <row r="255" spans="1:8" x14ac:dyDescent="0.25">
      <c r="A255" s="15">
        <v>44328</v>
      </c>
      <c r="B255" s="15">
        <v>44344</v>
      </c>
      <c r="C255" s="15">
        <v>44357</v>
      </c>
      <c r="D255" s="41">
        <v>130080.345</v>
      </c>
      <c r="E255" s="41">
        <v>73862.087750999999</v>
      </c>
      <c r="F255" s="41">
        <v>3093.8766627527102</v>
      </c>
      <c r="G255" s="41">
        <v>3569.7332654295701</v>
      </c>
      <c r="H255" s="41">
        <v>1507.9380821586001</v>
      </c>
    </row>
    <row r="256" spans="1:8" x14ac:dyDescent="0.25">
      <c r="A256" s="15">
        <v>44344</v>
      </c>
      <c r="B256" s="15">
        <v>44358</v>
      </c>
      <c r="C256" s="15">
        <v>44371</v>
      </c>
      <c r="D256" s="41">
        <v>131272.766</v>
      </c>
      <c r="E256" s="41">
        <v>73307.701000000001</v>
      </c>
      <c r="F256" s="41">
        <v>3046.6474723974102</v>
      </c>
      <c r="G256" s="41">
        <v>3554.5993995997401</v>
      </c>
      <c r="H256" s="41">
        <v>1561.68831733858</v>
      </c>
    </row>
    <row r="257" spans="1:8" x14ac:dyDescent="0.25">
      <c r="A257" s="15">
        <v>44358</v>
      </c>
      <c r="B257" s="15">
        <v>44372</v>
      </c>
      <c r="C257" s="15">
        <v>44385</v>
      </c>
      <c r="D257" s="41">
        <v>132434.09700000001</v>
      </c>
      <c r="E257" s="41">
        <v>74757.907093000002</v>
      </c>
      <c r="F257" s="41">
        <v>3084.3353316785547</v>
      </c>
      <c r="G257" s="41">
        <v>3532.7322628068996</v>
      </c>
      <c r="H257" s="41">
        <v>1534.2766217513308</v>
      </c>
    </row>
    <row r="258" spans="1:8" x14ac:dyDescent="0.25">
      <c r="A258" s="15">
        <v>44372</v>
      </c>
      <c r="B258" s="15">
        <v>44386</v>
      </c>
      <c r="C258" s="15">
        <v>44402</v>
      </c>
      <c r="D258" s="41">
        <v>135861.77299999999</v>
      </c>
      <c r="E258" s="41">
        <v>76956.388000000006</v>
      </c>
      <c r="F258" s="41">
        <v>3110.1666633121558</v>
      </c>
      <c r="G258" s="41">
        <v>3559.9764889638091</v>
      </c>
      <c r="H258" s="41">
        <v>1508.3694175380351</v>
      </c>
    </row>
    <row r="259" spans="1:8" x14ac:dyDescent="0.25">
      <c r="A259" s="15">
        <v>44386</v>
      </c>
      <c r="B259" s="15">
        <v>44403</v>
      </c>
      <c r="C259" s="15">
        <v>44413</v>
      </c>
      <c r="D259" s="41">
        <v>136565.22100000002</v>
      </c>
      <c r="E259" s="41">
        <v>76386.318935000003</v>
      </c>
      <c r="F259" s="41">
        <v>3139.9561065406301</v>
      </c>
      <c r="G259" s="41">
        <v>3570.8345172557779</v>
      </c>
      <c r="H259" s="41">
        <v>1529.2279055492018</v>
      </c>
    </row>
    <row r="260" spans="1:8" x14ac:dyDescent="0.25">
      <c r="A260" s="15">
        <v>44396</v>
      </c>
      <c r="B260" s="15">
        <v>44414</v>
      </c>
      <c r="C260" s="15">
        <v>44427</v>
      </c>
      <c r="D260" s="41">
        <v>139942.77500000002</v>
      </c>
      <c r="E260" s="41">
        <v>93156.829765999995</v>
      </c>
      <c r="F260" s="41">
        <v>1635.1535558197322</v>
      </c>
      <c r="G260" s="41">
        <v>3716.8645357691039</v>
      </c>
      <c r="H260" s="41">
        <v>1567.2818555652866</v>
      </c>
    </row>
    <row r="261" spans="1:8" x14ac:dyDescent="0.25">
      <c r="A261" s="15">
        <v>44414</v>
      </c>
      <c r="B261" s="15">
        <v>44428</v>
      </c>
      <c r="C261" s="15">
        <v>44441</v>
      </c>
      <c r="D261" s="41">
        <v>138383.94700000001</v>
      </c>
      <c r="E261" s="41">
        <v>91683.549320999999</v>
      </c>
      <c r="F261" s="41">
        <v>1604.9363426202822</v>
      </c>
      <c r="G261" s="41">
        <v>3668.7793911112117</v>
      </c>
      <c r="H261" s="41">
        <v>1556.5315941751614</v>
      </c>
    </row>
    <row r="262" spans="1:8" x14ac:dyDescent="0.25">
      <c r="A262" s="15">
        <v>44428</v>
      </c>
      <c r="B262" s="15">
        <v>44442</v>
      </c>
      <c r="C262" s="15">
        <v>44455</v>
      </c>
      <c r="D262" s="41">
        <v>139413.05399999997</v>
      </c>
      <c r="E262" s="41">
        <v>92699.103564000005</v>
      </c>
      <c r="F262" s="41">
        <v>1643.1904642483219</v>
      </c>
      <c r="G262" s="41">
        <v>3726.9442244785391</v>
      </c>
      <c r="H262" s="41">
        <v>1546.792815771885</v>
      </c>
    </row>
    <row r="263" spans="1:8" x14ac:dyDescent="0.25">
      <c r="A263" s="15">
        <v>44442</v>
      </c>
      <c r="B263" s="15">
        <v>44456</v>
      </c>
      <c r="C263" s="15">
        <v>44469</v>
      </c>
      <c r="D263" s="41">
        <v>139835.481</v>
      </c>
      <c r="E263" s="41">
        <v>93277.944493999996</v>
      </c>
      <c r="F263" s="41">
        <v>1663.5715793370716</v>
      </c>
      <c r="G263" s="41">
        <v>3834.1581753023929</v>
      </c>
      <c r="H263" s="41">
        <v>1586.8629012258336</v>
      </c>
    </row>
    <row r="264" spans="1:8" x14ac:dyDescent="0.25">
      <c r="A264" s="15">
        <v>44456</v>
      </c>
      <c r="B264" s="15">
        <v>44470</v>
      </c>
      <c r="C264" s="15">
        <v>44483</v>
      </c>
      <c r="D264" s="41">
        <v>143397.658</v>
      </c>
      <c r="E264" s="41">
        <v>109459.855186</v>
      </c>
      <c r="F264" s="41">
        <v>0</v>
      </c>
      <c r="G264" s="41">
        <v>3975.2321077047659</v>
      </c>
      <c r="H264" s="41">
        <v>1568.6823937448528</v>
      </c>
    </row>
    <row r="265" spans="1:8" x14ac:dyDescent="0.25">
      <c r="A265" s="15">
        <v>44470</v>
      </c>
      <c r="B265" s="15">
        <v>44484</v>
      </c>
      <c r="C265" s="15">
        <v>44500</v>
      </c>
      <c r="D265" s="41">
        <v>145594.579</v>
      </c>
      <c r="E265" s="41">
        <v>110484.67663</v>
      </c>
      <c r="F265" s="41">
        <v>0</v>
      </c>
      <c r="G265" s="41">
        <v>3847.34752286102</v>
      </c>
      <c r="H265" s="41">
        <v>1585.6997047519001</v>
      </c>
    </row>
    <row r="266" spans="1:8" x14ac:dyDescent="0.25">
      <c r="A266" s="15">
        <v>44484</v>
      </c>
      <c r="B266" s="15">
        <v>44501</v>
      </c>
      <c r="C266" s="15">
        <v>44511</v>
      </c>
      <c r="D266" s="41">
        <v>150346.321</v>
      </c>
      <c r="E266" s="41">
        <v>113725.359</v>
      </c>
      <c r="F266" s="41">
        <v>0</v>
      </c>
      <c r="G266" s="41">
        <v>3821.0846765318965</v>
      </c>
      <c r="H266" s="41">
        <v>1634.1031487130272</v>
      </c>
    </row>
    <row r="267" spans="1:8" x14ac:dyDescent="0.25">
      <c r="A267" s="15">
        <v>44497</v>
      </c>
      <c r="B267" s="15">
        <v>44512</v>
      </c>
      <c r="C267" s="15">
        <v>44525</v>
      </c>
      <c r="D267" s="41">
        <v>152446.359</v>
      </c>
      <c r="E267" s="41">
        <v>122018.03283</v>
      </c>
      <c r="F267" s="41">
        <v>0</v>
      </c>
      <c r="G267" s="41">
        <v>2537.322212654954</v>
      </c>
      <c r="H267" s="41">
        <v>1624.8668404962004</v>
      </c>
    </row>
    <row r="268" spans="1:8" x14ac:dyDescent="0.25">
      <c r="A268" s="15">
        <v>44512</v>
      </c>
      <c r="B268" s="15">
        <v>44526</v>
      </c>
      <c r="C268" s="15">
        <v>44539</v>
      </c>
      <c r="D268" s="41">
        <v>153327.20499999999</v>
      </c>
      <c r="E268" s="41">
        <v>122627.671</v>
      </c>
      <c r="F268" s="41">
        <v>0</v>
      </c>
      <c r="G268" s="41">
        <v>2443.31053693493</v>
      </c>
      <c r="H268" s="41">
        <v>1646.92822894752</v>
      </c>
    </row>
    <row r="269" spans="1:8" x14ac:dyDescent="0.25">
      <c r="A269" s="15">
        <v>44526</v>
      </c>
      <c r="B269" s="15">
        <v>44540</v>
      </c>
      <c r="C269" s="15">
        <v>44553</v>
      </c>
      <c r="D269" s="41">
        <v>154288.144</v>
      </c>
      <c r="E269" s="41">
        <v>122635.90700000001</v>
      </c>
      <c r="F269" s="41">
        <v>0</v>
      </c>
      <c r="G269" s="41">
        <v>2028.7795101707486</v>
      </c>
      <c r="H269" s="41">
        <v>1451.2848833759717</v>
      </c>
    </row>
    <row r="270" spans="1:8" x14ac:dyDescent="0.25">
      <c r="A270" s="15">
        <v>44540</v>
      </c>
      <c r="B270" s="15">
        <v>44554</v>
      </c>
      <c r="C270" s="15">
        <v>44567</v>
      </c>
      <c r="D270" s="41">
        <v>155193.353</v>
      </c>
      <c r="E270" s="41">
        <v>121975.324182</v>
      </c>
      <c r="F270" s="41">
        <v>0</v>
      </c>
      <c r="G270" s="41">
        <v>1795.3301819356273</v>
      </c>
      <c r="H270" s="41">
        <v>1291.1738198661683</v>
      </c>
    </row>
    <row r="271" spans="1:8" x14ac:dyDescent="0.25">
      <c r="A271" s="15">
        <v>44554</v>
      </c>
      <c r="B271" s="15">
        <v>44568</v>
      </c>
      <c r="C271" s="15">
        <v>44581</v>
      </c>
      <c r="D271" s="41">
        <v>146768.34</v>
      </c>
      <c r="E271" s="41">
        <v>116249.469421</v>
      </c>
      <c r="F271" s="41">
        <v>0</v>
      </c>
      <c r="G271" s="41">
        <v>2027.4965786155369</v>
      </c>
      <c r="H271" s="41">
        <v>1449.421107187175</v>
      </c>
    </row>
    <row r="272" spans="1:8" x14ac:dyDescent="0.25">
      <c r="A272" s="15">
        <v>44568</v>
      </c>
      <c r="B272" s="15">
        <v>44582</v>
      </c>
      <c r="C272" s="15">
        <v>44595</v>
      </c>
      <c r="D272" s="41">
        <v>147734.57999999999</v>
      </c>
      <c r="E272" s="41">
        <v>116864.158</v>
      </c>
      <c r="F272" s="41">
        <v>0</v>
      </c>
      <c r="G272" s="41">
        <v>1721.0142231714301</v>
      </c>
      <c r="H272" s="41">
        <v>1232.2296526602099</v>
      </c>
    </row>
    <row r="273" spans="1:14" x14ac:dyDescent="0.25">
      <c r="A273" s="15">
        <v>44582</v>
      </c>
      <c r="B273" s="15">
        <v>44596</v>
      </c>
      <c r="C273" s="15">
        <v>44609</v>
      </c>
      <c r="D273" s="41">
        <v>151445.568</v>
      </c>
      <c r="E273" s="41">
        <v>119835.23581100001</v>
      </c>
      <c r="F273" s="41">
        <v>0</v>
      </c>
      <c r="G273" s="41">
        <v>1776.7714750517971</v>
      </c>
      <c r="H273" s="41">
        <v>1282.3908031277599</v>
      </c>
    </row>
    <row r="274" spans="1:14" x14ac:dyDescent="0.25">
      <c r="A274" s="15">
        <v>44596</v>
      </c>
      <c r="B274" s="15">
        <v>44610</v>
      </c>
      <c r="C274" s="15">
        <v>44623</v>
      </c>
      <c r="D274" s="41">
        <v>152896.30399999997</v>
      </c>
      <c r="E274" s="41">
        <v>121094.044112</v>
      </c>
      <c r="F274" s="41">
        <v>0</v>
      </c>
      <c r="G274" s="41">
        <v>1771.5242257285802</v>
      </c>
      <c r="H274" s="41">
        <v>1283.5645319059561</v>
      </c>
    </row>
    <row r="275" spans="1:14" x14ac:dyDescent="0.25">
      <c r="A275" s="15">
        <v>44610</v>
      </c>
      <c r="B275" s="15">
        <v>44624</v>
      </c>
      <c r="C275" s="15">
        <v>44637</v>
      </c>
      <c r="D275" s="41">
        <v>157753.38500000001</v>
      </c>
      <c r="E275" s="41">
        <v>124772.052708</v>
      </c>
      <c r="F275" s="41">
        <v>0</v>
      </c>
      <c r="G275" s="41">
        <v>1821.9846097964878</v>
      </c>
      <c r="H275" s="41">
        <v>1325.3408599445008</v>
      </c>
    </row>
    <row r="276" spans="1:14" x14ac:dyDescent="0.25">
      <c r="A276" s="15">
        <v>44624</v>
      </c>
      <c r="B276" s="15">
        <v>44638</v>
      </c>
      <c r="C276" s="15">
        <v>44651</v>
      </c>
      <c r="D276" s="41">
        <v>154255.834</v>
      </c>
      <c r="E276" s="41">
        <v>122043.93981</v>
      </c>
      <c r="F276" s="41">
        <v>0</v>
      </c>
      <c r="G276" s="41">
        <v>1712.9668282688581</v>
      </c>
      <c r="H276" s="41">
        <v>1253.5614366987252</v>
      </c>
    </row>
    <row r="277" spans="1:14" ht="14.25" customHeight="1" x14ac:dyDescent="0.25">
      <c r="A277" s="15">
        <v>44638</v>
      </c>
      <c r="B277" s="15">
        <v>44652</v>
      </c>
      <c r="C277" s="15">
        <v>44665</v>
      </c>
      <c r="D277" s="41">
        <v>162069.41</v>
      </c>
      <c r="E277" s="41">
        <v>127389.906156</v>
      </c>
      <c r="F277" s="41">
        <v>0</v>
      </c>
      <c r="G277" s="41">
        <v>1745.8520451645777</v>
      </c>
      <c r="H277" s="41">
        <v>1270.491062728581</v>
      </c>
    </row>
    <row r="278" spans="1:14" ht="14.25" customHeight="1" x14ac:dyDescent="0.25">
      <c r="A278" s="15">
        <v>44652</v>
      </c>
      <c r="B278" s="15">
        <v>44666</v>
      </c>
      <c r="C278" s="15">
        <v>44679</v>
      </c>
      <c r="D278" s="41">
        <v>162912.27000000002</v>
      </c>
      <c r="E278" s="41">
        <v>129768.32924400001</v>
      </c>
      <c r="F278" s="41">
        <v>0</v>
      </c>
      <c r="G278" s="41">
        <v>1748.4694458095296</v>
      </c>
      <c r="H278" s="41">
        <v>1276.6950418747583</v>
      </c>
      <c r="M278" s="46"/>
    </row>
    <row r="279" spans="1:14" ht="14.25" customHeight="1" x14ac:dyDescent="0.25">
      <c r="A279" s="15">
        <v>44666</v>
      </c>
      <c r="B279" s="15">
        <v>44680</v>
      </c>
      <c r="C279" s="15">
        <v>44693</v>
      </c>
      <c r="D279" s="41">
        <v>168451.82500000001</v>
      </c>
      <c r="E279" s="41">
        <v>131722.60141500001</v>
      </c>
      <c r="F279" s="41">
        <v>0</v>
      </c>
      <c r="G279" s="41">
        <v>1826.14901969942</v>
      </c>
      <c r="H279" s="41">
        <v>1331.27073589986</v>
      </c>
      <c r="M279" s="46"/>
      <c r="N279" s="46"/>
    </row>
    <row r="280" spans="1:14" ht="14.25" customHeight="1" x14ac:dyDescent="0.25">
      <c r="A280" s="15">
        <v>44680</v>
      </c>
      <c r="B280" s="15">
        <v>44694</v>
      </c>
      <c r="C280" s="15">
        <v>44707</v>
      </c>
      <c r="D280" s="41">
        <v>204416.44900000002</v>
      </c>
      <c r="E280" s="41">
        <v>169361.60837500001</v>
      </c>
      <c r="F280" s="41">
        <v>0</v>
      </c>
      <c r="G280" s="41">
        <v>1839.7396550561512</v>
      </c>
      <c r="H280" s="41">
        <v>1344.339146550579</v>
      </c>
    </row>
    <row r="281" spans="1:14" ht="14.25" customHeight="1" x14ac:dyDescent="0.25">
      <c r="A281" s="15">
        <v>44694</v>
      </c>
      <c r="B281" s="15">
        <v>44708</v>
      </c>
      <c r="C281" s="15">
        <v>44721</v>
      </c>
      <c r="D281" s="41">
        <v>203246.109</v>
      </c>
      <c r="E281" s="41">
        <v>164684.72967900001</v>
      </c>
      <c r="F281" s="41">
        <v>0</v>
      </c>
      <c r="G281" s="41">
        <v>1751.4983842156948</v>
      </c>
      <c r="H281" s="41">
        <v>1281.6006695606677</v>
      </c>
    </row>
    <row r="282" spans="1:14" ht="14.25" customHeight="1" x14ac:dyDescent="0.25">
      <c r="A282" s="15">
        <v>44708</v>
      </c>
      <c r="B282" s="15">
        <v>44722</v>
      </c>
      <c r="C282" s="15">
        <v>44735</v>
      </c>
      <c r="D282" s="41">
        <v>204907.36799999999</v>
      </c>
      <c r="E282" s="41">
        <v>169908.99</v>
      </c>
      <c r="F282" s="41">
        <v>0</v>
      </c>
      <c r="G282" s="41">
        <v>1689.2774299302901</v>
      </c>
      <c r="H282" s="41">
        <v>1232.8453153445</v>
      </c>
    </row>
    <row r="283" spans="1:14" ht="14.25" customHeight="1" x14ac:dyDescent="0.25">
      <c r="A283" s="15">
        <v>44722</v>
      </c>
      <c r="B283" s="15">
        <v>44736</v>
      </c>
      <c r="C283" s="15">
        <v>44749</v>
      </c>
      <c r="D283" s="41">
        <v>207833.63199999998</v>
      </c>
      <c r="E283" s="41">
        <v>170532.76230499998</v>
      </c>
      <c r="F283" s="41">
        <v>0</v>
      </c>
      <c r="G283" s="41">
        <v>1660.62442264835</v>
      </c>
      <c r="H283" s="41">
        <v>1194.70706641743</v>
      </c>
    </row>
    <row r="284" spans="1:14" ht="14.25" customHeight="1" x14ac:dyDescent="0.25">
      <c r="A284" s="15">
        <v>44736</v>
      </c>
      <c r="B284" s="15">
        <v>44750</v>
      </c>
      <c r="C284" s="15">
        <v>44763</v>
      </c>
      <c r="D284" s="41">
        <v>223146.62300000002</v>
      </c>
      <c r="E284" s="41">
        <v>184518.26102559999</v>
      </c>
      <c r="F284" s="41">
        <v>0</v>
      </c>
      <c r="G284" s="41">
        <v>1667.515398776847</v>
      </c>
      <c r="H284" s="41">
        <v>1210.4142139464043</v>
      </c>
    </row>
    <row r="285" spans="1:14" ht="14.25" customHeight="1" x14ac:dyDescent="0.25">
      <c r="A285" s="15">
        <v>44750</v>
      </c>
      <c r="B285" s="15">
        <v>44764</v>
      </c>
      <c r="C285" s="15">
        <v>44777</v>
      </c>
      <c r="D285" s="41">
        <v>228927.71899999998</v>
      </c>
      <c r="E285" s="41">
        <v>189032.52101559995</v>
      </c>
      <c r="F285" s="41">
        <v>0</v>
      </c>
      <c r="G285" s="41">
        <v>1732.9414071120509</v>
      </c>
      <c r="H285" s="41">
        <v>1202.5830422822498</v>
      </c>
    </row>
    <row r="286" spans="1:14" ht="14.25" customHeight="1" x14ac:dyDescent="0.25">
      <c r="A286" s="15">
        <v>44764</v>
      </c>
      <c r="B286" s="15">
        <v>44778</v>
      </c>
      <c r="C286" s="15">
        <v>44791</v>
      </c>
      <c r="D286" s="41">
        <v>224236.76499999998</v>
      </c>
      <c r="E286" s="41">
        <v>186398.535168</v>
      </c>
      <c r="F286" s="41">
        <v>0</v>
      </c>
      <c r="G286" s="41">
        <v>1715.6876622576799</v>
      </c>
      <c r="H286" s="41">
        <v>1225.8458968738</v>
      </c>
    </row>
    <row r="287" spans="1:14" ht="14.25" customHeight="1" x14ac:dyDescent="0.25">
      <c r="A287" s="15">
        <v>44778</v>
      </c>
      <c r="B287" s="15">
        <v>44792</v>
      </c>
      <c r="C287" s="15">
        <v>44805</v>
      </c>
      <c r="D287" s="41">
        <v>231457.16</v>
      </c>
      <c r="E287" s="41">
        <v>188875.916</v>
      </c>
      <c r="F287" s="41">
        <v>0</v>
      </c>
      <c r="G287" s="41">
        <v>1741.0872133422999</v>
      </c>
      <c r="H287" s="41">
        <v>1258.55786410887</v>
      </c>
    </row>
    <row r="288" spans="1:14" ht="14.25" customHeight="1" x14ac:dyDescent="0.25">
      <c r="A288" s="15">
        <v>44792</v>
      </c>
      <c r="B288" s="15">
        <v>44806</v>
      </c>
      <c r="C288" s="15">
        <v>44819</v>
      </c>
      <c r="D288" s="41">
        <v>250281.535</v>
      </c>
      <c r="E288" s="41">
        <v>206826.55036943001</v>
      </c>
      <c r="F288" s="41">
        <v>0</v>
      </c>
      <c r="G288" s="41">
        <v>1815.67745771965</v>
      </c>
      <c r="H288" s="41">
        <v>1324.9732937569599</v>
      </c>
    </row>
    <row r="289" spans="1:10" ht="14.25" customHeight="1" x14ac:dyDescent="0.25">
      <c r="A289" s="15">
        <v>44806</v>
      </c>
      <c r="B289" s="15">
        <v>44820</v>
      </c>
      <c r="C289" s="15">
        <v>44833</v>
      </c>
      <c r="D289" s="41">
        <v>251490.891</v>
      </c>
      <c r="E289" s="41">
        <v>207628.47603242999</v>
      </c>
      <c r="F289" s="41">
        <v>0</v>
      </c>
      <c r="G289" s="41">
        <v>1803.7292895620265</v>
      </c>
      <c r="H289" s="41">
        <v>1313.4778277590397</v>
      </c>
    </row>
    <row r="290" spans="1:10" ht="14.25" customHeight="1" x14ac:dyDescent="0.25">
      <c r="A290" s="15">
        <v>44820</v>
      </c>
      <c r="B290" s="15">
        <v>44834</v>
      </c>
      <c r="C290" s="15">
        <v>44847</v>
      </c>
      <c r="D290" s="41">
        <v>229830.141</v>
      </c>
      <c r="E290" s="41">
        <v>185697.675946</v>
      </c>
      <c r="F290" s="41">
        <v>0</v>
      </c>
      <c r="G290" s="41">
        <v>1832.6136472339194</v>
      </c>
      <c r="H290" s="41">
        <v>1335.8070193750959</v>
      </c>
    </row>
    <row r="291" spans="1:10" ht="14.25" customHeight="1" x14ac:dyDescent="0.25">
      <c r="A291" s="15">
        <v>44834</v>
      </c>
      <c r="B291" s="15">
        <v>44848</v>
      </c>
      <c r="C291" s="15">
        <v>44861</v>
      </c>
      <c r="D291" s="41">
        <v>230934.28399999999</v>
      </c>
      <c r="E291" s="41">
        <v>186101.68923335001</v>
      </c>
      <c r="F291" s="41">
        <v>0</v>
      </c>
      <c r="G291" s="41">
        <v>1808.7459499095305</v>
      </c>
      <c r="H291" s="41">
        <v>1312.193121072451</v>
      </c>
    </row>
    <row r="292" spans="1:10" ht="14.25" customHeight="1" x14ac:dyDescent="0.25">
      <c r="A292" s="15">
        <v>44848</v>
      </c>
      <c r="B292" s="15">
        <v>44862</v>
      </c>
      <c r="C292" s="15">
        <v>44875</v>
      </c>
      <c r="D292" s="41">
        <v>240497.29300000001</v>
      </c>
      <c r="E292" s="41">
        <v>194490.20284535</v>
      </c>
      <c r="F292" s="41">
        <v>0</v>
      </c>
      <c r="G292" s="41">
        <v>1875.4907395237301</v>
      </c>
      <c r="H292" s="41">
        <v>1358.8411991089799</v>
      </c>
    </row>
    <row r="293" spans="1:10" ht="14.25" customHeight="1" x14ac:dyDescent="0.25">
      <c r="A293" s="15">
        <v>44862</v>
      </c>
      <c r="B293" s="15">
        <v>44876</v>
      </c>
      <c r="C293" s="15">
        <v>44889</v>
      </c>
      <c r="D293" s="41">
        <v>248263.37299999999</v>
      </c>
      <c r="E293" s="41">
        <v>199784.27972435</v>
      </c>
      <c r="F293" s="41">
        <v>0</v>
      </c>
      <c r="G293" s="41">
        <v>1957.7199015217827</v>
      </c>
      <c r="H293" s="41">
        <v>1386.3239725429783</v>
      </c>
    </row>
    <row r="294" spans="1:10" ht="14.25" customHeight="1" x14ac:dyDescent="0.25">
      <c r="A294" s="15">
        <v>44876</v>
      </c>
      <c r="B294" s="15">
        <v>44890</v>
      </c>
      <c r="C294" s="15">
        <v>44903</v>
      </c>
      <c r="D294" s="41">
        <v>240989.91</v>
      </c>
      <c r="E294" s="41">
        <v>192836.55976599999</v>
      </c>
      <c r="F294" s="41">
        <v>0</v>
      </c>
      <c r="G294" s="41">
        <v>2011.97385739215</v>
      </c>
      <c r="H294" s="41">
        <v>1449.7640647891401</v>
      </c>
    </row>
    <row r="295" spans="1:10" ht="14.25" customHeight="1" x14ac:dyDescent="0.25">
      <c r="A295" s="15">
        <v>44890</v>
      </c>
      <c r="B295" s="15">
        <v>44904</v>
      </c>
      <c r="C295" s="15">
        <v>44917</v>
      </c>
      <c r="D295" s="41">
        <v>249197.984</v>
      </c>
      <c r="E295" s="41">
        <v>196589.05302700002</v>
      </c>
      <c r="F295" s="41">
        <v>0</v>
      </c>
      <c r="G295" s="41">
        <v>2069.0204824984298</v>
      </c>
      <c r="H295" s="41">
        <v>1498.413526406388</v>
      </c>
    </row>
    <row r="296" spans="1:10" ht="14.25" customHeight="1" x14ac:dyDescent="0.25">
      <c r="A296" s="15">
        <v>44904</v>
      </c>
      <c r="B296" s="15">
        <v>44918</v>
      </c>
      <c r="C296" s="15">
        <v>44931</v>
      </c>
      <c r="D296" s="41">
        <v>257206.72399999999</v>
      </c>
      <c r="E296" s="41">
        <v>205063.23746775999</v>
      </c>
      <c r="F296" s="41">
        <v>0</v>
      </c>
      <c r="G296" s="41">
        <v>2139.3902180205</v>
      </c>
      <c r="H296" s="41">
        <v>1531.8225419064199</v>
      </c>
    </row>
    <row r="297" spans="1:10" ht="14.25" customHeight="1" x14ac:dyDescent="0.25">
      <c r="A297" s="15">
        <v>44918</v>
      </c>
      <c r="B297" s="15">
        <v>44932</v>
      </c>
      <c r="C297" s="15">
        <v>44945</v>
      </c>
      <c r="D297" s="41">
        <v>274908.23100000003</v>
      </c>
      <c r="E297" s="41">
        <v>218505.13523576001</v>
      </c>
      <c r="F297" s="41">
        <v>0</v>
      </c>
      <c r="G297" s="41">
        <v>2275.4959772453799</v>
      </c>
      <c r="H297" s="41">
        <v>1617.9305303246399</v>
      </c>
    </row>
    <row r="298" spans="1:10" ht="14.25" customHeight="1" x14ac:dyDescent="0.25">
      <c r="A298" s="15">
        <v>44932</v>
      </c>
      <c r="B298" s="15">
        <v>44946</v>
      </c>
      <c r="C298" s="15">
        <v>44959</v>
      </c>
      <c r="D298" s="41">
        <v>279184.55499999999</v>
      </c>
      <c r="E298" s="41">
        <v>222539.65090281999</v>
      </c>
      <c r="F298" s="41">
        <v>0</v>
      </c>
      <c r="G298" s="41">
        <v>2298.2719357126898</v>
      </c>
      <c r="H298" s="41">
        <v>1635.4031904129799</v>
      </c>
    </row>
    <row r="299" spans="1:10" ht="14.25" customHeight="1" x14ac:dyDescent="0.25">
      <c r="A299" s="15">
        <v>44946</v>
      </c>
      <c r="B299" s="15">
        <v>44960</v>
      </c>
      <c r="C299" s="15">
        <v>44973</v>
      </c>
      <c r="D299" s="41">
        <v>268543.90600000002</v>
      </c>
      <c r="E299" s="41">
        <v>213814.22637282001</v>
      </c>
      <c r="F299" s="41">
        <v>0</v>
      </c>
      <c r="G299" s="41">
        <v>2188.4950271069902</v>
      </c>
      <c r="H299" s="41">
        <v>1562.70763891404</v>
      </c>
    </row>
    <row r="300" spans="1:10" ht="14.25" customHeight="1" x14ac:dyDescent="0.25">
      <c r="A300" s="15">
        <v>44960</v>
      </c>
      <c r="B300" s="15">
        <v>44974</v>
      </c>
      <c r="C300" s="15">
        <v>44987</v>
      </c>
      <c r="D300" s="41">
        <v>269792.15899999999</v>
      </c>
      <c r="E300" s="41">
        <v>216982.1524128</v>
      </c>
      <c r="F300" s="41">
        <v>0</v>
      </c>
      <c r="G300" s="41">
        <v>2200.3915767179101</v>
      </c>
      <c r="H300" s="41">
        <v>1557.4033163505401</v>
      </c>
    </row>
    <row r="301" spans="1:10" ht="14.25" customHeight="1" x14ac:dyDescent="0.25">
      <c r="A301" s="15">
        <v>44974</v>
      </c>
      <c r="B301" s="15">
        <v>44988</v>
      </c>
      <c r="C301" s="15">
        <v>45001</v>
      </c>
      <c r="D301" s="41">
        <v>279470.36900000001</v>
      </c>
      <c r="E301" s="41">
        <v>222226.71689780001</v>
      </c>
      <c r="F301" s="41">
        <v>0</v>
      </c>
      <c r="G301" s="41">
        <v>2206.66737837032</v>
      </c>
      <c r="H301" s="41">
        <v>1607.10260853878</v>
      </c>
    </row>
    <row r="302" spans="1:10" ht="14.25" customHeight="1" x14ac:dyDescent="0.25">
      <c r="A302" s="15">
        <v>44988</v>
      </c>
      <c r="B302" s="15">
        <v>45002</v>
      </c>
      <c r="C302" s="15">
        <v>45015</v>
      </c>
      <c r="D302" s="41">
        <v>283316.799</v>
      </c>
      <c r="E302" s="41">
        <v>227105.00780952</v>
      </c>
      <c r="F302" s="41">
        <v>0</v>
      </c>
      <c r="G302" s="41">
        <v>2262.0860830073002</v>
      </c>
      <c r="H302" s="41">
        <v>1640.7518773740801</v>
      </c>
      <c r="J302"/>
    </row>
    <row r="303" spans="1:10" ht="14.25" customHeight="1" x14ac:dyDescent="0.25">
      <c r="A303" s="15">
        <v>45002</v>
      </c>
      <c r="B303" s="15">
        <v>45016</v>
      </c>
      <c r="C303" s="15">
        <v>45029</v>
      </c>
      <c r="D303" s="41">
        <v>291960.42506099999</v>
      </c>
      <c r="E303" s="41">
        <v>231766.47034552001</v>
      </c>
      <c r="F303" s="41">
        <v>0</v>
      </c>
      <c r="G303" s="41">
        <v>2348.1873195269859</v>
      </c>
      <c r="H303" s="41">
        <v>1700.5088056732532</v>
      </c>
      <c r="J303"/>
    </row>
    <row r="304" spans="1:10" ht="14.25" customHeight="1" x14ac:dyDescent="0.25">
      <c r="A304" s="15">
        <v>45016</v>
      </c>
      <c r="B304" s="15">
        <v>45030</v>
      </c>
      <c r="C304" s="15">
        <v>45043</v>
      </c>
      <c r="D304" s="41">
        <v>293608.06406200002</v>
      </c>
      <c r="E304" s="41">
        <v>235831.13219917001</v>
      </c>
      <c r="F304" s="41">
        <v>0</v>
      </c>
      <c r="G304" s="41">
        <v>2320.4284822961499</v>
      </c>
      <c r="H304" s="41">
        <v>1699.22136185304</v>
      </c>
      <c r="J304"/>
    </row>
    <row r="305" spans="1:10" ht="14.25" customHeight="1" x14ac:dyDescent="0.25">
      <c r="A305" s="15">
        <v>45030</v>
      </c>
      <c r="B305" s="15">
        <v>45044</v>
      </c>
      <c r="C305" s="15">
        <v>45057</v>
      </c>
      <c r="D305" s="41">
        <v>299709.484</v>
      </c>
      <c r="E305" s="41">
        <v>239129.36726316999</v>
      </c>
      <c r="F305" s="41">
        <v>0</v>
      </c>
      <c r="G305" s="41">
        <v>2363.4384159462866</v>
      </c>
      <c r="H305" s="41">
        <v>1707.8614712230983</v>
      </c>
      <c r="J305"/>
    </row>
    <row r="306" spans="1:10" s="50" customFormat="1" ht="14.25" customHeight="1" x14ac:dyDescent="0.25">
      <c r="A306" s="15">
        <v>45044</v>
      </c>
      <c r="B306" s="15">
        <v>45058</v>
      </c>
      <c r="C306" s="15">
        <v>45071</v>
      </c>
      <c r="D306" s="41">
        <v>292955.34899999999</v>
      </c>
      <c r="E306" s="41">
        <v>233974.794509</v>
      </c>
      <c r="F306" s="41">
        <v>0</v>
      </c>
      <c r="G306" s="41">
        <v>2305.7096163748001</v>
      </c>
      <c r="H306" s="41">
        <v>1660.71894556801</v>
      </c>
      <c r="J306"/>
    </row>
    <row r="307" spans="1:10" s="50" customFormat="1" ht="14.25" customHeight="1" x14ac:dyDescent="0.25">
      <c r="A307" s="15">
        <v>45058</v>
      </c>
      <c r="B307" s="15">
        <v>45072</v>
      </c>
      <c r="C307" s="15">
        <v>45085</v>
      </c>
      <c r="D307" s="41">
        <v>277410.13799999998</v>
      </c>
      <c r="E307" s="41">
        <v>222880.31485525001</v>
      </c>
      <c r="F307" s="41">
        <v>0</v>
      </c>
      <c r="G307" s="41">
        <v>1915.5485857443355</v>
      </c>
      <c r="H307" s="41">
        <v>1571.6297388286955</v>
      </c>
      <c r="J307"/>
    </row>
    <row r="308" spans="1:10" s="50" customFormat="1" ht="14.25" customHeight="1" x14ac:dyDescent="0.25">
      <c r="A308" s="15">
        <v>45072</v>
      </c>
      <c r="B308" s="15">
        <v>45086</v>
      </c>
      <c r="C308" s="15">
        <v>45099</v>
      </c>
      <c r="D308" s="41">
        <v>271178.87599999999</v>
      </c>
      <c r="E308" s="41">
        <v>232290.432199</v>
      </c>
      <c r="F308" s="41">
        <v>0</v>
      </c>
      <c r="G308" s="41">
        <v>1767.50955101569</v>
      </c>
      <c r="H308" s="41">
        <v>1468.7995855838701</v>
      </c>
      <c r="J308"/>
    </row>
    <row r="309" spans="1:10" s="50" customFormat="1" ht="14.25" customHeight="1" x14ac:dyDescent="0.25">
      <c r="A309" s="15">
        <v>45086</v>
      </c>
      <c r="B309" s="15">
        <v>45100</v>
      </c>
      <c r="C309" s="15">
        <v>45113</v>
      </c>
      <c r="D309" s="41">
        <v>272039.95400000003</v>
      </c>
      <c r="E309" s="41">
        <v>230037.294268</v>
      </c>
      <c r="F309" s="41">
        <v>0</v>
      </c>
      <c r="G309" s="41">
        <v>1499.36117365316</v>
      </c>
      <c r="H309" s="41">
        <v>1090.86287433751</v>
      </c>
      <c r="J309"/>
    </row>
    <row r="310" spans="1:10" s="50" customFormat="1" ht="14.25" customHeight="1" x14ac:dyDescent="0.25">
      <c r="A310" s="15">
        <v>45100</v>
      </c>
      <c r="B310" s="15">
        <v>45114</v>
      </c>
      <c r="C310" s="15">
        <v>45127</v>
      </c>
      <c r="D310" s="41">
        <v>301976.163</v>
      </c>
      <c r="E310" s="41">
        <v>317093.82891262003</v>
      </c>
      <c r="F310" s="41">
        <v>0</v>
      </c>
      <c r="G310" s="41">
        <v>8.5506626763574198E-6</v>
      </c>
      <c r="H310" s="41">
        <v>0</v>
      </c>
      <c r="J310"/>
    </row>
    <row r="311" spans="1:10" s="50" customFormat="1" ht="14.1" customHeight="1" x14ac:dyDescent="0.25">
      <c r="A311" s="15">
        <v>45114</v>
      </c>
      <c r="B311" s="15">
        <v>45128</v>
      </c>
      <c r="C311" s="15">
        <v>45141</v>
      </c>
      <c r="D311" s="41">
        <v>293178.39899999998</v>
      </c>
      <c r="E311" s="41">
        <v>300788.18486862001</v>
      </c>
      <c r="F311" s="41">
        <v>0</v>
      </c>
      <c r="G311" s="41">
        <v>8.5506626763574198E-6</v>
      </c>
      <c r="H311" s="41">
        <v>0</v>
      </c>
      <c r="J311"/>
    </row>
    <row r="312" spans="1:10" s="50" customFormat="1" ht="14.25" customHeight="1" x14ac:dyDescent="0.25">
      <c r="A312" s="15">
        <v>45128</v>
      </c>
      <c r="B312" s="15">
        <v>45142</v>
      </c>
      <c r="C312" s="15">
        <v>45155</v>
      </c>
      <c r="D312" s="41">
        <v>761330.28899999999</v>
      </c>
      <c r="E312" s="41">
        <v>772947.69121200102</v>
      </c>
      <c r="F312" s="41">
        <v>0</v>
      </c>
      <c r="G312" s="41">
        <v>5.0580560700391998E-6</v>
      </c>
      <c r="H312" s="41">
        <v>0</v>
      </c>
      <c r="J312"/>
    </row>
    <row r="313" spans="1:10" s="50" customFormat="1" ht="14.25" customHeight="1" x14ac:dyDescent="0.25">
      <c r="A313" s="15">
        <v>45142</v>
      </c>
      <c r="B313" s="15">
        <v>45156</v>
      </c>
      <c r="C313" s="15">
        <v>45169</v>
      </c>
      <c r="D313" s="41">
        <v>796210.55200000003</v>
      </c>
      <c r="E313" s="41">
        <v>789823.15553300001</v>
      </c>
      <c r="F313" s="41">
        <v>0</v>
      </c>
      <c r="G313" s="41">
        <v>4.9722075859561099E-6</v>
      </c>
      <c r="H313" s="41">
        <v>0</v>
      </c>
      <c r="J313"/>
    </row>
    <row r="314" spans="1:10" s="50" customFormat="1" ht="14.25" customHeight="1" x14ac:dyDescent="0.25">
      <c r="A314" s="15">
        <v>45156</v>
      </c>
      <c r="B314" s="15">
        <v>45170</v>
      </c>
      <c r="C314" s="15">
        <v>45183</v>
      </c>
      <c r="D314" s="41">
        <v>819810.59900000005</v>
      </c>
      <c r="E314" s="41">
        <v>841202.10153489001</v>
      </c>
      <c r="F314" s="41">
        <v>0</v>
      </c>
      <c r="G314" s="41">
        <v>0</v>
      </c>
      <c r="H314" s="41">
        <v>0</v>
      </c>
      <c r="J314"/>
    </row>
    <row r="315" spans="1:10" s="50" customFormat="1" ht="14.25" customHeight="1" x14ac:dyDescent="0.25">
      <c r="A315" s="15">
        <v>45170</v>
      </c>
      <c r="B315" s="15">
        <v>45184</v>
      </c>
      <c r="C315" s="15">
        <v>45197</v>
      </c>
      <c r="D315" s="41">
        <v>1041481.661</v>
      </c>
      <c r="E315" s="41">
        <v>1020475.71549189</v>
      </c>
      <c r="F315" s="41">
        <v>0</v>
      </c>
      <c r="G315" s="41">
        <v>0</v>
      </c>
      <c r="H315" s="41">
        <v>0</v>
      </c>
      <c r="J315"/>
    </row>
    <row r="316" spans="1:10" s="50" customFormat="1" ht="14.25" customHeight="1" x14ac:dyDescent="0.25">
      <c r="A316" s="15">
        <v>45184</v>
      </c>
      <c r="B316" s="15">
        <v>45198</v>
      </c>
      <c r="C316" s="15">
        <v>45211</v>
      </c>
      <c r="D316" s="41">
        <v>1048850.284</v>
      </c>
      <c r="E316" s="41">
        <v>1051330.2275161699</v>
      </c>
      <c r="F316" s="41">
        <v>0</v>
      </c>
      <c r="G316" s="41">
        <v>0</v>
      </c>
      <c r="H316" s="41">
        <v>0</v>
      </c>
      <c r="J316"/>
    </row>
    <row r="317" spans="1:10" s="50" customFormat="1" ht="14.25" customHeight="1" x14ac:dyDescent="0.25">
      <c r="A317" s="15">
        <v>45198</v>
      </c>
      <c r="B317" s="15">
        <v>45212</v>
      </c>
      <c r="C317" s="15">
        <v>45225</v>
      </c>
      <c r="D317" s="41">
        <v>1052493.611</v>
      </c>
      <c r="E317" s="41">
        <v>1082340.5331695999</v>
      </c>
      <c r="F317" s="41">
        <v>0</v>
      </c>
      <c r="G317" s="41">
        <v>0</v>
      </c>
      <c r="H317" s="41">
        <v>0</v>
      </c>
      <c r="J317"/>
    </row>
    <row r="318" spans="1:10" s="50" customFormat="1" ht="14.25" customHeight="1" x14ac:dyDescent="0.25">
      <c r="A318" s="15">
        <v>45212</v>
      </c>
      <c r="B318" s="15">
        <v>45226</v>
      </c>
      <c r="C318" s="15">
        <v>45239</v>
      </c>
      <c r="D318" s="41">
        <v>1020413.362</v>
      </c>
      <c r="E318" s="41">
        <v>991924.23741104105</v>
      </c>
      <c r="F318" s="41">
        <v>0</v>
      </c>
      <c r="G318" s="41">
        <v>0</v>
      </c>
      <c r="H318" s="41">
        <v>0</v>
      </c>
      <c r="J318"/>
    </row>
    <row r="319" spans="1:10" s="50" customFormat="1" ht="14.25" customHeight="1" x14ac:dyDescent="0.25">
      <c r="A319" s="15">
        <v>45226</v>
      </c>
      <c r="B319" s="15">
        <v>45240</v>
      </c>
      <c r="C319" s="15">
        <v>45253</v>
      </c>
      <c r="D319" s="41">
        <v>1150934.9339999999</v>
      </c>
      <c r="E319" s="41">
        <v>1182565.4339900401</v>
      </c>
      <c r="F319" s="41">
        <v>0</v>
      </c>
      <c r="G319" s="41">
        <v>0</v>
      </c>
      <c r="H319" s="41">
        <v>0</v>
      </c>
      <c r="J319"/>
    </row>
    <row r="320" spans="1:10" s="50" customFormat="1" ht="14.25" customHeight="1" x14ac:dyDescent="0.25">
      <c r="A320" s="15">
        <v>45240</v>
      </c>
      <c r="B320" s="15">
        <v>45254</v>
      </c>
      <c r="C320" s="15">
        <v>45267</v>
      </c>
      <c r="D320" s="41">
        <v>1080073.791</v>
      </c>
      <c r="E320" s="41">
        <v>1047535.63249</v>
      </c>
      <c r="F320" s="41">
        <v>0</v>
      </c>
      <c r="G320" s="41">
        <v>0</v>
      </c>
      <c r="H320" s="41">
        <v>0</v>
      </c>
      <c r="J320"/>
    </row>
    <row r="321" spans="1:10" s="50" customFormat="1" ht="14.25" customHeight="1" x14ac:dyDescent="0.25">
      <c r="A321" s="15">
        <v>45254</v>
      </c>
      <c r="B321" s="15">
        <v>45268</v>
      </c>
      <c r="C321" s="15">
        <v>45281</v>
      </c>
      <c r="D321" s="41">
        <v>1045754.68</v>
      </c>
      <c r="E321" s="41">
        <v>1075503.5903719999</v>
      </c>
      <c r="F321" s="41">
        <v>0</v>
      </c>
      <c r="G321" s="41">
        <v>0</v>
      </c>
      <c r="H321" s="41">
        <v>0</v>
      </c>
      <c r="J321"/>
    </row>
    <row r="322" spans="1:10" s="50" customFormat="1" ht="14.25" customHeight="1" x14ac:dyDescent="0.25">
      <c r="A322" s="15">
        <v>45268</v>
      </c>
      <c r="B322" s="15">
        <v>45282</v>
      </c>
      <c r="C322" s="15">
        <v>45295</v>
      </c>
      <c r="D322" s="41">
        <v>1018377.776</v>
      </c>
      <c r="E322" s="41">
        <v>990986.95981499995</v>
      </c>
      <c r="F322" s="41">
        <v>0</v>
      </c>
      <c r="G322" s="41">
        <v>0</v>
      </c>
      <c r="H322" s="41">
        <v>0</v>
      </c>
      <c r="J322"/>
    </row>
    <row r="323" spans="1:10" s="50" customFormat="1" ht="14.25" customHeight="1" x14ac:dyDescent="0.25">
      <c r="A323" s="15">
        <v>45282</v>
      </c>
      <c r="B323" s="15">
        <v>45296</v>
      </c>
      <c r="C323" s="15">
        <v>45309</v>
      </c>
      <c r="D323" s="41">
        <v>1016690.093</v>
      </c>
      <c r="E323" s="41">
        <v>1041467.535654</v>
      </c>
      <c r="F323" s="41">
        <v>0</v>
      </c>
      <c r="G323" s="41">
        <v>0</v>
      </c>
      <c r="H323" s="41">
        <v>0</v>
      </c>
      <c r="J323"/>
    </row>
    <row r="324" spans="1:10" s="50" customFormat="1" ht="14.25" customHeight="1" x14ac:dyDescent="0.25">
      <c r="A324" s="15">
        <v>45296</v>
      </c>
      <c r="B324" s="15">
        <v>45310</v>
      </c>
      <c r="C324" s="15">
        <v>45323</v>
      </c>
      <c r="D324" s="41">
        <v>969862.32799999998</v>
      </c>
      <c r="E324" s="41">
        <v>944856.03800099995</v>
      </c>
      <c r="F324" s="41">
        <v>0</v>
      </c>
      <c r="G324" s="41">
        <v>0</v>
      </c>
      <c r="H324" s="41">
        <v>0</v>
      </c>
      <c r="J324"/>
    </row>
    <row r="325" spans="1:10" s="50" customFormat="1" ht="14.25" customHeight="1" x14ac:dyDescent="0.25">
      <c r="A325" s="15">
        <v>45310</v>
      </c>
      <c r="B325" s="15">
        <v>45324</v>
      </c>
      <c r="C325" s="15">
        <v>45337</v>
      </c>
      <c r="D325" s="41">
        <v>867685.26300000004</v>
      </c>
      <c r="E325" s="41">
        <v>877351.902</v>
      </c>
      <c r="F325" s="41">
        <v>0</v>
      </c>
      <c r="G325" s="41">
        <v>0</v>
      </c>
      <c r="H325" s="41">
        <v>0</v>
      </c>
      <c r="J325"/>
    </row>
    <row r="326" spans="1:10" s="50" customFormat="1" ht="14.25" customHeight="1" x14ac:dyDescent="0.25">
      <c r="A326" s="15">
        <v>45324</v>
      </c>
      <c r="B326" s="15">
        <v>45338</v>
      </c>
      <c r="C326" s="15">
        <v>45351</v>
      </c>
      <c r="D326" s="41">
        <v>812835.26399999997</v>
      </c>
      <c r="E326" s="41">
        <v>811338.57564099994</v>
      </c>
      <c r="F326" s="41">
        <v>0</v>
      </c>
      <c r="G326" s="41">
        <v>0</v>
      </c>
      <c r="H326" s="41">
        <v>0</v>
      </c>
      <c r="J326"/>
    </row>
    <row r="327" spans="1:10" s="50" customFormat="1" ht="14.25" customHeight="1" x14ac:dyDescent="0.25">
      <c r="A327" s="15">
        <v>45338</v>
      </c>
      <c r="B327" s="15">
        <v>45352</v>
      </c>
      <c r="C327" s="15">
        <v>45365</v>
      </c>
      <c r="D327" s="41">
        <v>792944.94099999999</v>
      </c>
      <c r="E327" s="41">
        <v>793243.55713299999</v>
      </c>
      <c r="F327" s="41">
        <v>0</v>
      </c>
      <c r="G327" s="41">
        <v>0</v>
      </c>
      <c r="H327" s="41">
        <v>0</v>
      </c>
      <c r="J327"/>
    </row>
    <row r="328" spans="1:10" s="50" customFormat="1" ht="14.25" customHeight="1" x14ac:dyDescent="0.25">
      <c r="A328" s="15">
        <v>45352</v>
      </c>
      <c r="B328" s="15">
        <v>45366</v>
      </c>
      <c r="C328" s="15">
        <v>45379</v>
      </c>
      <c r="D328" s="41">
        <v>775269.696</v>
      </c>
      <c r="E328" s="41">
        <v>774304.51800000004</v>
      </c>
      <c r="F328" s="41">
        <v>0</v>
      </c>
      <c r="G328" s="41">
        <v>0</v>
      </c>
      <c r="H328" s="41">
        <v>0</v>
      </c>
      <c r="J328"/>
    </row>
    <row r="329" spans="1:10" s="50" customFormat="1" ht="14.25" customHeight="1" x14ac:dyDescent="0.25">
      <c r="A329" s="15">
        <v>45366</v>
      </c>
      <c r="B329" s="15">
        <v>45380</v>
      </c>
      <c r="C329" s="15">
        <v>45393</v>
      </c>
      <c r="D329" s="41">
        <v>771786.826</v>
      </c>
      <c r="E329" s="41">
        <v>776529.29599999997</v>
      </c>
      <c r="F329" s="41">
        <v>0</v>
      </c>
      <c r="G329" s="41">
        <v>0</v>
      </c>
      <c r="H329" s="41">
        <v>0</v>
      </c>
      <c r="J329"/>
    </row>
    <row r="330" spans="1:10" s="50" customFormat="1" ht="14.25" customHeight="1" x14ac:dyDescent="0.25">
      <c r="A330" s="15">
        <v>45380</v>
      </c>
      <c r="B330" s="15">
        <v>45394</v>
      </c>
      <c r="C330" s="15">
        <v>45407</v>
      </c>
      <c r="D330" s="41">
        <v>766276.47</v>
      </c>
      <c r="E330" s="41">
        <v>771509.48499999999</v>
      </c>
      <c r="F330" s="41">
        <v>0</v>
      </c>
      <c r="G330" s="41">
        <v>0</v>
      </c>
      <c r="H330" s="41">
        <v>0</v>
      </c>
      <c r="J330"/>
    </row>
    <row r="331" spans="1:10" s="50" customFormat="1" ht="14.25" customHeight="1" x14ac:dyDescent="0.25">
      <c r="A331" s="15">
        <v>45391</v>
      </c>
      <c r="B331" s="15">
        <v>45408</v>
      </c>
      <c r="C331" s="15">
        <v>45421</v>
      </c>
      <c r="D331" s="41">
        <v>787218.98899999994</v>
      </c>
      <c r="E331" s="41">
        <v>789761.598</v>
      </c>
      <c r="F331" s="41">
        <v>0</v>
      </c>
      <c r="G331" s="41">
        <v>0</v>
      </c>
      <c r="H331" s="41">
        <v>0</v>
      </c>
      <c r="J331"/>
    </row>
    <row r="332" spans="1:10" s="50" customFormat="1" ht="14.25" customHeight="1" x14ac:dyDescent="0.25">
      <c r="A332" s="15">
        <v>45408</v>
      </c>
      <c r="B332" s="15">
        <v>45422</v>
      </c>
      <c r="C332" s="15">
        <v>45435</v>
      </c>
      <c r="D332" s="41">
        <v>803020.07799999998</v>
      </c>
      <c r="E332" s="41">
        <v>801221.18799999997</v>
      </c>
      <c r="F332" s="41">
        <v>0</v>
      </c>
      <c r="G332" s="41">
        <v>0</v>
      </c>
      <c r="H332" s="41">
        <v>0</v>
      </c>
      <c r="J332"/>
    </row>
    <row r="333" spans="1:10" s="50" customFormat="1" ht="14.25" customHeight="1" x14ac:dyDescent="0.25">
      <c r="A333" s="15">
        <v>45422</v>
      </c>
      <c r="B333" s="15">
        <v>45436</v>
      </c>
      <c r="C333" s="15">
        <v>45449</v>
      </c>
      <c r="D333" s="41">
        <v>1372488.8910000001</v>
      </c>
      <c r="E333" s="41">
        <v>1380125.361</v>
      </c>
      <c r="F333" s="41">
        <v>0</v>
      </c>
      <c r="G333" s="41">
        <v>0</v>
      </c>
      <c r="H333" s="41">
        <v>0</v>
      </c>
      <c r="J333"/>
    </row>
    <row r="334" spans="1:10" s="50" customFormat="1" ht="14.25" customHeight="1" x14ac:dyDescent="0.25">
      <c r="A334" s="15">
        <v>45436</v>
      </c>
      <c r="B334" s="15">
        <v>45450</v>
      </c>
      <c r="C334" s="15">
        <v>45463</v>
      </c>
      <c r="D334" s="41">
        <v>1420145.7220000001</v>
      </c>
      <c r="E334" s="41">
        <v>1429900.7849999999</v>
      </c>
      <c r="F334" s="41">
        <v>0</v>
      </c>
      <c r="G334" s="41">
        <v>0</v>
      </c>
      <c r="H334" s="41">
        <v>0</v>
      </c>
      <c r="J334"/>
    </row>
    <row r="335" spans="1:10" s="50" customFormat="1" ht="14.25" customHeight="1" x14ac:dyDescent="0.25">
      <c r="A335" s="15">
        <v>45450</v>
      </c>
      <c r="B335" s="15">
        <v>45464</v>
      </c>
      <c r="C335" s="15">
        <v>45477</v>
      </c>
      <c r="D335" s="41">
        <v>1427043.294</v>
      </c>
      <c r="E335" s="41">
        <v>1411296.044</v>
      </c>
      <c r="F335" s="41">
        <v>0</v>
      </c>
      <c r="G335" s="41">
        <v>0</v>
      </c>
      <c r="H335" s="41">
        <v>0</v>
      </c>
      <c r="J335"/>
    </row>
    <row r="336" spans="1:10" s="50" customFormat="1" ht="14.25" customHeight="1" x14ac:dyDescent="0.25">
      <c r="A336" s="15">
        <v>45464</v>
      </c>
      <c r="B336" s="15">
        <v>45478</v>
      </c>
      <c r="C336" s="15">
        <v>45491</v>
      </c>
      <c r="D336" s="41">
        <v>1456878.4110000001</v>
      </c>
      <c r="E336" s="41">
        <v>1472479.9920000001</v>
      </c>
      <c r="F336" s="41">
        <v>0</v>
      </c>
      <c r="G336" s="41">
        <v>0</v>
      </c>
      <c r="H336" s="41">
        <v>0</v>
      </c>
      <c r="J336"/>
    </row>
    <row r="337" spans="1:10" s="50" customFormat="1" ht="14.25" customHeight="1" x14ac:dyDescent="0.25">
      <c r="A337" s="15">
        <v>45478</v>
      </c>
      <c r="B337" s="15">
        <v>45492</v>
      </c>
      <c r="C337" s="15">
        <v>45505</v>
      </c>
      <c r="D337" s="41">
        <v>1447377.2540000002</v>
      </c>
      <c r="E337" s="41">
        <v>1433556.0320000001</v>
      </c>
      <c r="F337" s="41">
        <v>0</v>
      </c>
      <c r="G337" s="41">
        <v>0</v>
      </c>
      <c r="H337" s="41">
        <v>0</v>
      </c>
      <c r="J337"/>
    </row>
    <row r="338" spans="1:10" s="50" customFormat="1" ht="14.25" customHeight="1" x14ac:dyDescent="0.25">
      <c r="A338" s="15">
        <v>45492</v>
      </c>
      <c r="B338" s="15">
        <v>45506</v>
      </c>
      <c r="C338" s="15">
        <v>45519</v>
      </c>
      <c r="D338" s="41">
        <v>1468377.84</v>
      </c>
      <c r="E338" s="41">
        <v>1471995.915</v>
      </c>
      <c r="F338" s="41">
        <v>0</v>
      </c>
      <c r="G338" s="41">
        <v>0</v>
      </c>
      <c r="H338" s="41">
        <v>0</v>
      </c>
      <c r="J338"/>
    </row>
    <row r="339" spans="1:10" s="50" customFormat="1" ht="14.25" customHeight="1" x14ac:dyDescent="0.25">
      <c r="A339" s="15">
        <v>45506</v>
      </c>
      <c r="B339" s="15">
        <v>45520</v>
      </c>
      <c r="C339" s="15">
        <v>45533</v>
      </c>
      <c r="D339" s="41">
        <v>1470472.7409999999</v>
      </c>
      <c r="E339" s="41">
        <v>1467944.1600000001</v>
      </c>
      <c r="F339" s="41">
        <v>0</v>
      </c>
      <c r="G339" s="41">
        <v>0</v>
      </c>
      <c r="H339" s="41">
        <v>0</v>
      </c>
      <c r="J339"/>
    </row>
    <row r="340" spans="1:10" s="50" customFormat="1" ht="14.25" customHeight="1" x14ac:dyDescent="0.25">
      <c r="A340" s="15">
        <v>45520</v>
      </c>
      <c r="B340" s="15">
        <v>45537</v>
      </c>
      <c r="C340" s="15">
        <v>45547</v>
      </c>
      <c r="D340" s="41">
        <v>1473176.415</v>
      </c>
      <c r="E340" s="41">
        <v>1481110.9309999999</v>
      </c>
      <c r="F340" s="41">
        <v>0</v>
      </c>
      <c r="G340" s="41">
        <v>0</v>
      </c>
      <c r="H340" s="41">
        <v>0</v>
      </c>
      <c r="J340"/>
    </row>
    <row r="341" spans="1:10" s="50" customFormat="1" ht="14.25" customHeight="1" x14ac:dyDescent="0.25">
      <c r="A341" s="15">
        <v>45533</v>
      </c>
      <c r="B341" s="15">
        <v>45548</v>
      </c>
      <c r="C341" s="15">
        <v>45561</v>
      </c>
      <c r="D341" s="41">
        <v>1476390.5090000001</v>
      </c>
      <c r="E341" s="41">
        <v>1477327.59</v>
      </c>
      <c r="F341" s="41">
        <v>0</v>
      </c>
      <c r="G341" s="41">
        <v>0</v>
      </c>
      <c r="H341" s="41">
        <v>0</v>
      </c>
      <c r="J341"/>
    </row>
    <row r="342" spans="1:10" s="50" customFormat="1" ht="14.25" customHeight="1" x14ac:dyDescent="0.25">
      <c r="A342" s="15">
        <v>45548</v>
      </c>
      <c r="B342" s="15">
        <v>45562</v>
      </c>
      <c r="C342" s="15">
        <v>45575</v>
      </c>
      <c r="D342" s="41">
        <v>1696993.27</v>
      </c>
      <c r="E342" s="41">
        <v>1693727.2110000001</v>
      </c>
      <c r="F342" s="41">
        <v>0</v>
      </c>
      <c r="G342" s="41">
        <v>0</v>
      </c>
      <c r="H342" s="41">
        <v>0</v>
      </c>
      <c r="J342"/>
    </row>
    <row r="343" spans="1:10" s="50" customFormat="1" ht="14.25" customHeight="1" x14ac:dyDescent="0.25">
      <c r="A343" s="15">
        <v>45562</v>
      </c>
      <c r="B343" s="15">
        <v>45576</v>
      </c>
      <c r="C343" s="15">
        <v>45589</v>
      </c>
      <c r="D343" s="41">
        <v>1768796.327</v>
      </c>
      <c r="E343" s="41">
        <v>1774530.7180000001</v>
      </c>
      <c r="F343" s="41">
        <v>0</v>
      </c>
      <c r="G343" s="41">
        <v>0</v>
      </c>
      <c r="H343" s="41">
        <v>0</v>
      </c>
      <c r="J343"/>
    </row>
    <row r="344" spans="1:10" s="50" customFormat="1" ht="14.25" customHeight="1" x14ac:dyDescent="0.25">
      <c r="A344" s="15">
        <v>45576</v>
      </c>
      <c r="B344" s="15">
        <v>45590</v>
      </c>
      <c r="C344" s="15">
        <v>45603</v>
      </c>
      <c r="D344" s="41">
        <v>1749723.253</v>
      </c>
      <c r="E344" s="41">
        <v>1744679.558</v>
      </c>
      <c r="F344" s="41">
        <v>0</v>
      </c>
      <c r="G344" s="41">
        <v>0</v>
      </c>
      <c r="H344" s="41">
        <v>0</v>
      </c>
      <c r="J344"/>
    </row>
    <row r="345" spans="1:10" s="50" customFormat="1" ht="14.25" customHeight="1" x14ac:dyDescent="0.25">
      <c r="A345" s="15">
        <v>45590</v>
      </c>
      <c r="B345" s="15">
        <v>45604</v>
      </c>
      <c r="C345" s="15">
        <v>45617</v>
      </c>
      <c r="D345" s="41">
        <v>1801163.622</v>
      </c>
      <c r="E345" s="41">
        <v>1805729.7340000002</v>
      </c>
      <c r="F345" s="41">
        <v>0</v>
      </c>
      <c r="G345" s="41">
        <v>0</v>
      </c>
      <c r="H345" s="41">
        <v>0</v>
      </c>
      <c r="J345"/>
    </row>
    <row r="346" spans="1:10" s="50" customFormat="1" ht="14.25" customHeight="1" x14ac:dyDescent="0.25">
      <c r="A346" s="15">
        <v>45604</v>
      </c>
      <c r="B346" s="15">
        <v>45618</v>
      </c>
      <c r="C346" s="15">
        <v>45631</v>
      </c>
      <c r="D346" s="41">
        <v>1806274.8370000001</v>
      </c>
      <c r="E346" s="41">
        <v>1806960.179</v>
      </c>
      <c r="F346" s="41">
        <v>0</v>
      </c>
      <c r="G346" s="41">
        <v>0</v>
      </c>
      <c r="H346" s="41">
        <v>0</v>
      </c>
      <c r="J346"/>
    </row>
    <row r="347" spans="1:10" s="50" customFormat="1" ht="14.25" customHeight="1" x14ac:dyDescent="0.25">
      <c r="A347" s="15">
        <v>45618</v>
      </c>
      <c r="B347" s="15">
        <v>45632</v>
      </c>
      <c r="C347" s="15">
        <v>45645</v>
      </c>
      <c r="D347" s="41">
        <v>1996062.7080000001</v>
      </c>
      <c r="E347" s="41">
        <v>1980093.6610000001</v>
      </c>
      <c r="F347" s="41">
        <v>0</v>
      </c>
      <c r="G347" s="41">
        <v>0</v>
      </c>
      <c r="H347" s="41">
        <v>0</v>
      </c>
      <c r="J347"/>
    </row>
    <row r="348" spans="1:10" s="50" customFormat="1" ht="14.25" customHeight="1" x14ac:dyDescent="0.25">
      <c r="A348" s="15">
        <v>45632</v>
      </c>
      <c r="B348" s="15">
        <v>45646</v>
      </c>
      <c r="C348" s="15">
        <v>45659</v>
      </c>
      <c r="D348" s="41">
        <v>2010210.8119999999</v>
      </c>
      <c r="E348" s="41">
        <v>2031465.7050000001</v>
      </c>
      <c r="F348" s="41">
        <v>0</v>
      </c>
      <c r="G348" s="41">
        <v>0</v>
      </c>
      <c r="H348" s="41">
        <v>0</v>
      </c>
      <c r="J348"/>
    </row>
    <row r="349" spans="1:10" s="50" customFormat="1" ht="14.25" customHeight="1" x14ac:dyDescent="0.25">
      <c r="A349" s="15">
        <v>45646</v>
      </c>
      <c r="B349" s="15">
        <v>45660</v>
      </c>
      <c r="C349" s="15">
        <v>45673</v>
      </c>
      <c r="D349" s="41">
        <v>2071653.048</v>
      </c>
      <c r="E349" s="41">
        <v>2057638.8319999999</v>
      </c>
      <c r="F349" s="41">
        <v>0</v>
      </c>
      <c r="G349" s="41">
        <v>0</v>
      </c>
      <c r="H349" s="41">
        <v>0</v>
      </c>
      <c r="J349"/>
    </row>
    <row r="350" spans="1:10" s="50" customFormat="1" ht="14.25" customHeight="1" x14ac:dyDescent="0.25">
      <c r="A350" s="15">
        <v>45660</v>
      </c>
      <c r="B350" s="15">
        <v>45674</v>
      </c>
      <c r="C350" s="15">
        <v>45687</v>
      </c>
      <c r="D350" s="41">
        <v>2090697.824</v>
      </c>
      <c r="E350" s="41">
        <v>2099679.5380000002</v>
      </c>
      <c r="F350" s="41">
        <v>0</v>
      </c>
      <c r="G350" s="41">
        <v>0</v>
      </c>
      <c r="H350" s="41">
        <v>0</v>
      </c>
      <c r="J350"/>
    </row>
    <row r="351" spans="1:10" s="50" customFormat="1" ht="14.25" customHeight="1" x14ac:dyDescent="0.25">
      <c r="A351" s="15">
        <v>45674</v>
      </c>
      <c r="B351" s="15">
        <v>45688</v>
      </c>
      <c r="C351" s="15">
        <v>45701</v>
      </c>
      <c r="D351" s="41">
        <v>2112861.048</v>
      </c>
      <c r="E351" s="41">
        <v>2110337.91</v>
      </c>
      <c r="F351" s="41">
        <v>0</v>
      </c>
      <c r="G351" s="41">
        <v>0</v>
      </c>
      <c r="H351" s="41">
        <v>0</v>
      </c>
      <c r="J351"/>
    </row>
    <row r="352" spans="1:10" s="50" customFormat="1" ht="14.25" customHeight="1" x14ac:dyDescent="0.25">
      <c r="A352" s="15">
        <v>45688</v>
      </c>
      <c r="B352" s="15">
        <v>45702</v>
      </c>
      <c r="C352" s="15">
        <v>45715</v>
      </c>
      <c r="D352" s="41">
        <v>2077387.6640000001</v>
      </c>
      <c r="E352" s="41">
        <v>2077931.442</v>
      </c>
      <c r="F352" s="41">
        <v>0</v>
      </c>
      <c r="G352" s="41">
        <v>0</v>
      </c>
      <c r="H352" s="41">
        <v>0</v>
      </c>
      <c r="J352"/>
    </row>
    <row r="353" spans="1:10" s="50" customFormat="1" ht="14.25" customHeight="1" x14ac:dyDescent="0.25">
      <c r="A353" s="15">
        <v>45702</v>
      </c>
      <c r="B353" s="15">
        <v>45716</v>
      </c>
      <c r="C353" s="15">
        <v>45729</v>
      </c>
      <c r="D353" s="41">
        <v>2123875.557</v>
      </c>
      <c r="E353" s="41">
        <v>2125482.1749999998</v>
      </c>
      <c r="F353" s="41">
        <v>0</v>
      </c>
      <c r="G353" s="41">
        <v>0</v>
      </c>
      <c r="H353" s="41">
        <v>0</v>
      </c>
      <c r="J353"/>
    </row>
    <row r="354" spans="1:10" s="50" customFormat="1" ht="14.25" customHeight="1" x14ac:dyDescent="0.25">
      <c r="A354" s="15">
        <v>45716</v>
      </c>
      <c r="B354" s="15">
        <v>45730</v>
      </c>
      <c r="C354" s="15">
        <v>45743</v>
      </c>
      <c r="D354" s="41">
        <v>2108500.0689999997</v>
      </c>
      <c r="E354" s="41">
        <v>2117230.798</v>
      </c>
      <c r="F354" s="41">
        <v>0</v>
      </c>
      <c r="G354" s="41">
        <v>0</v>
      </c>
      <c r="H354" s="41">
        <v>0</v>
      </c>
      <c r="J354"/>
    </row>
    <row r="355" spans="1:10" s="50" customFormat="1" ht="14.25" customHeight="1" x14ac:dyDescent="0.25">
      <c r="A355" s="15">
        <v>45730</v>
      </c>
      <c r="B355" s="15">
        <v>45744</v>
      </c>
      <c r="C355" s="15">
        <v>45757</v>
      </c>
      <c r="D355" s="41">
        <v>2157163.4409999996</v>
      </c>
      <c r="E355" s="41">
        <v>2157804.548</v>
      </c>
      <c r="F355" s="41">
        <v>0</v>
      </c>
      <c r="G355" s="41">
        <v>0</v>
      </c>
      <c r="H355" s="41">
        <v>0</v>
      </c>
      <c r="J355"/>
    </row>
    <row r="356" spans="1:10" s="50" customFormat="1" ht="14.25" customHeight="1" x14ac:dyDescent="0.25">
      <c r="A356" s="15">
        <v>45744</v>
      </c>
      <c r="B356" s="15">
        <v>45758</v>
      </c>
      <c r="C356" s="15">
        <v>45771</v>
      </c>
      <c r="D356" s="41">
        <v>2216563.48</v>
      </c>
      <c r="E356" s="41">
        <v>2208370.1140000001</v>
      </c>
      <c r="F356" s="41">
        <v>0</v>
      </c>
      <c r="G356" s="41">
        <v>0</v>
      </c>
      <c r="H356" s="41">
        <v>0</v>
      </c>
      <c r="J356"/>
    </row>
    <row r="357" spans="1:10" s="50" customFormat="1" ht="14.25" customHeight="1" x14ac:dyDescent="0.25">
      <c r="A357" s="17">
        <v>45758</v>
      </c>
      <c r="B357" s="17">
        <v>45772</v>
      </c>
      <c r="C357" s="17">
        <v>45785</v>
      </c>
      <c r="D357" s="40">
        <v>2137705.5830000001</v>
      </c>
      <c r="E357" s="40">
        <v>2151359.5730000003</v>
      </c>
      <c r="F357" s="40">
        <v>0</v>
      </c>
      <c r="G357" s="40">
        <v>0</v>
      </c>
      <c r="H357" s="40">
        <v>0</v>
      </c>
      <c r="J357"/>
    </row>
    <row r="358" spans="1:10" x14ac:dyDescent="0.25">
      <c r="C358" s="4"/>
      <c r="D358" s="50"/>
      <c r="E358" s="4"/>
      <c r="F358" s="4"/>
      <c r="I358" s="54"/>
    </row>
    <row r="359" spans="1:10" x14ac:dyDescent="0.25">
      <c r="C359" s="4"/>
      <c r="D359" s="4"/>
      <c r="E359" s="4"/>
      <c r="F359" s="4"/>
    </row>
    <row r="360" spans="1:10" x14ac:dyDescent="0.25">
      <c r="C360" s="4"/>
      <c r="D360" s="4"/>
      <c r="E360" s="4"/>
    </row>
    <row r="361" spans="1:10" x14ac:dyDescent="0.25">
      <c r="C361" s="4"/>
      <c r="D361" s="4"/>
      <c r="E361" s="4"/>
    </row>
    <row r="362" spans="1:10" x14ac:dyDescent="0.25">
      <c r="D362" s="68"/>
      <c r="E362" s="4"/>
    </row>
    <row r="363" spans="1:10" x14ac:dyDescent="0.25">
      <c r="D363" s="68"/>
      <c r="E363" s="72"/>
    </row>
    <row r="366" spans="1:10" x14ac:dyDescent="0.25">
      <c r="D366" s="4"/>
      <c r="E366" s="4"/>
    </row>
    <row r="367" spans="1:10" x14ac:dyDescent="0.25">
      <c r="E367" s="4"/>
    </row>
    <row r="368" spans="1:10" x14ac:dyDescent="0.25">
      <c r="D368" s="4"/>
    </row>
    <row r="369" ht="12.75" customHeight="1" x14ac:dyDescent="0.25"/>
  </sheetData>
  <printOptions horizontalCentered="1" verticalCentered="1"/>
  <pageMargins left="0.70866141732283472" right="0.70866141732283472" top="0.15748031496062992" bottom="0.15748031496062992" header="0.31496062992125984" footer="0.31496062992125984"/>
  <pageSetup paperSize="9" scale="45" fitToHeight="3" orientation="portrait" r:id="rId1"/>
  <rowBreaks count="2" manualBreakCount="2">
    <brk id="100" max="16383" man="1"/>
    <brk id="20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P369"/>
  <sheetViews>
    <sheetView showGridLines="0" zoomScaleNormal="100" zoomScaleSheetLayoutView="55" workbookViewId="0">
      <pane ySplit="2" topLeftCell="A343" activePane="bottomLeft" state="frozen"/>
      <selection activeCell="E373" sqref="E373"/>
      <selection pane="bottomLeft" activeCell="F364" sqref="F364"/>
    </sheetView>
  </sheetViews>
  <sheetFormatPr defaultColWidth="9.140625" defaultRowHeight="15" x14ac:dyDescent="0.25"/>
  <cols>
    <col min="1" max="3" width="14" style="1" customWidth="1"/>
    <col min="4" max="6" width="13.85546875" style="1" customWidth="1"/>
    <col min="7" max="7" width="13.85546875" style="50" customWidth="1"/>
    <col min="8" max="8" width="14.42578125" style="50" customWidth="1"/>
    <col min="9" max="9" width="11.85546875" style="1" customWidth="1"/>
    <col min="10" max="10" width="13.85546875" style="1" bestFit="1" customWidth="1"/>
    <col min="11" max="11" width="17.140625" style="1" bestFit="1" customWidth="1"/>
    <col min="12" max="12" width="9.140625" style="1"/>
    <col min="13" max="13" width="21.140625" style="1" customWidth="1"/>
    <col min="14" max="14" width="27.42578125" style="1" customWidth="1"/>
    <col min="15" max="15" width="12" style="1" bestFit="1" customWidth="1"/>
    <col min="16" max="16" width="31.140625" style="1" customWidth="1"/>
    <col min="17" max="16384" width="9.140625" style="1"/>
  </cols>
  <sheetData>
    <row r="1" spans="1:8" x14ac:dyDescent="0.25">
      <c r="A1" s="3" t="s">
        <v>56</v>
      </c>
      <c r="B1" s="3"/>
      <c r="C1" s="3"/>
    </row>
    <row r="2" spans="1:8" ht="105" customHeight="1" x14ac:dyDescent="0.25">
      <c r="A2" s="27" t="s">
        <v>9</v>
      </c>
      <c r="B2" s="28" t="s">
        <v>40</v>
      </c>
      <c r="C2" s="28" t="s">
        <v>41</v>
      </c>
      <c r="D2" s="28" t="s">
        <v>52</v>
      </c>
      <c r="E2" s="28" t="s">
        <v>18</v>
      </c>
      <c r="F2" s="29" t="s">
        <v>19</v>
      </c>
      <c r="G2" s="61" t="s">
        <v>54</v>
      </c>
      <c r="H2" s="61" t="s">
        <v>53</v>
      </c>
    </row>
    <row r="3" spans="1:8" x14ac:dyDescent="0.25">
      <c r="A3" s="30">
        <v>40802</v>
      </c>
      <c r="B3" s="15">
        <v>40816</v>
      </c>
      <c r="C3" s="15">
        <v>40829</v>
      </c>
      <c r="D3" s="12">
        <v>35584.279000000002</v>
      </c>
      <c r="E3" s="12">
        <v>20103.950603360776</v>
      </c>
      <c r="F3" s="12"/>
      <c r="G3" s="58"/>
      <c r="H3" s="58"/>
    </row>
    <row r="4" spans="1:8" x14ac:dyDescent="0.25">
      <c r="A4" s="15">
        <v>40816</v>
      </c>
      <c r="B4" s="15">
        <v>40830</v>
      </c>
      <c r="C4" s="15">
        <v>40843</v>
      </c>
      <c r="D4" s="13">
        <v>34082.563999999998</v>
      </c>
      <c r="E4" s="13">
        <v>18615.490164200943</v>
      </c>
      <c r="F4" s="13"/>
      <c r="G4" s="59"/>
      <c r="H4" s="59"/>
    </row>
    <row r="5" spans="1:8" x14ac:dyDescent="0.25">
      <c r="A5" s="15">
        <v>40830</v>
      </c>
      <c r="B5" s="15">
        <v>40844</v>
      </c>
      <c r="C5" s="15">
        <v>40857</v>
      </c>
      <c r="D5" s="13">
        <v>35740.836000000003</v>
      </c>
      <c r="E5" s="13">
        <v>19087.87207197323</v>
      </c>
      <c r="F5" s="13">
        <v>1173.1279828844149</v>
      </c>
      <c r="G5" s="59"/>
      <c r="H5" s="59"/>
    </row>
    <row r="6" spans="1:8" x14ac:dyDescent="0.25">
      <c r="A6" s="15">
        <v>40844</v>
      </c>
      <c r="B6" s="15">
        <v>40858</v>
      </c>
      <c r="C6" s="15">
        <v>40871</v>
      </c>
      <c r="D6" s="13">
        <v>35159.576999999997</v>
      </c>
      <c r="E6" s="13">
        <v>18776.982758620692</v>
      </c>
      <c r="F6" s="13">
        <v>1561.4969171043615</v>
      </c>
      <c r="G6" s="59"/>
      <c r="H6" s="59"/>
    </row>
    <row r="7" spans="1:8" x14ac:dyDescent="0.25">
      <c r="A7" s="15">
        <v>40858</v>
      </c>
      <c r="B7" s="15">
        <v>40872</v>
      </c>
      <c r="C7" s="15">
        <v>40885</v>
      </c>
      <c r="D7" s="13">
        <v>36132.476000000002</v>
      </c>
      <c r="E7" s="13">
        <v>18700.10175971215</v>
      </c>
      <c r="F7" s="13">
        <v>1784.5375836284927</v>
      </c>
      <c r="G7" s="59"/>
      <c r="H7" s="59"/>
    </row>
    <row r="8" spans="1:8" x14ac:dyDescent="0.25">
      <c r="A8" s="15">
        <v>40872</v>
      </c>
      <c r="B8" s="15">
        <v>40886</v>
      </c>
      <c r="C8" s="15">
        <v>40899</v>
      </c>
      <c r="D8" s="13">
        <v>37023.010999999999</v>
      </c>
      <c r="E8" s="13">
        <v>18269.976277765796</v>
      </c>
      <c r="F8" s="13">
        <v>1740.7440155272805</v>
      </c>
      <c r="G8" s="59"/>
      <c r="H8" s="59"/>
    </row>
    <row r="9" spans="1:8" x14ac:dyDescent="0.25">
      <c r="A9" s="15">
        <v>40886</v>
      </c>
      <c r="B9" s="15">
        <v>40900</v>
      </c>
      <c r="C9" s="15">
        <v>40913</v>
      </c>
      <c r="D9" s="13">
        <v>36130.042000000001</v>
      </c>
      <c r="E9" s="13">
        <v>18046.727941176472</v>
      </c>
      <c r="F9" s="13">
        <v>1897.5702370500439</v>
      </c>
      <c r="G9" s="59"/>
      <c r="H9" s="59"/>
    </row>
    <row r="10" spans="1:8" x14ac:dyDescent="0.25">
      <c r="A10" s="15">
        <v>40900</v>
      </c>
      <c r="B10" s="15">
        <v>40914</v>
      </c>
      <c r="C10" s="15">
        <v>40927</v>
      </c>
      <c r="D10" s="13">
        <v>37229.457999999999</v>
      </c>
      <c r="E10" s="13">
        <v>17979.222003301562</v>
      </c>
      <c r="F10" s="13">
        <v>1898.6245273976251</v>
      </c>
      <c r="G10" s="59"/>
      <c r="H10" s="59"/>
    </row>
    <row r="11" spans="1:8" x14ac:dyDescent="0.25">
      <c r="A11" s="15">
        <v>40914</v>
      </c>
      <c r="B11" s="15">
        <v>40928</v>
      </c>
      <c r="C11" s="15">
        <v>40941</v>
      </c>
      <c r="D11" s="13">
        <v>36823.841</v>
      </c>
      <c r="E11" s="13">
        <v>17795.572694278395</v>
      </c>
      <c r="F11" s="13">
        <v>1933.2338812980358</v>
      </c>
      <c r="G11" s="59"/>
      <c r="H11" s="59"/>
    </row>
    <row r="12" spans="1:8" x14ac:dyDescent="0.25">
      <c r="A12" s="15">
        <v>40928</v>
      </c>
      <c r="B12" s="15">
        <v>40942</v>
      </c>
      <c r="C12" s="15">
        <v>40955</v>
      </c>
      <c r="D12" s="13">
        <v>36213.841999999997</v>
      </c>
      <c r="E12" s="13">
        <v>18052.489849665315</v>
      </c>
      <c r="F12" s="13">
        <v>1924.8332053110939</v>
      </c>
      <c r="G12" s="59"/>
      <c r="H12" s="59"/>
    </row>
    <row r="13" spans="1:8" x14ac:dyDescent="0.25">
      <c r="A13" s="15">
        <v>40942</v>
      </c>
      <c r="B13" s="15">
        <v>40956</v>
      </c>
      <c r="C13" s="15">
        <v>40969</v>
      </c>
      <c r="D13" s="13">
        <v>35723.500999999997</v>
      </c>
      <c r="E13" s="13">
        <v>18536.648223147567</v>
      </c>
      <c r="F13" s="13">
        <v>2018.0634304945524</v>
      </c>
      <c r="G13" s="59"/>
      <c r="H13" s="59"/>
    </row>
    <row r="14" spans="1:8" x14ac:dyDescent="0.25">
      <c r="A14" s="15">
        <v>40956</v>
      </c>
      <c r="B14" s="15">
        <v>40970</v>
      </c>
      <c r="C14" s="15">
        <v>40983</v>
      </c>
      <c r="D14" s="13">
        <v>36191.54</v>
      </c>
      <c r="E14" s="13">
        <v>18450.353021045485</v>
      </c>
      <c r="F14" s="13">
        <v>2122.1684770310021</v>
      </c>
      <c r="G14" s="59"/>
      <c r="H14" s="59"/>
    </row>
    <row r="15" spans="1:8" x14ac:dyDescent="0.25">
      <c r="A15" s="15">
        <v>40970</v>
      </c>
      <c r="B15" s="15">
        <v>40984</v>
      </c>
      <c r="C15" s="15">
        <v>40997</v>
      </c>
      <c r="D15" s="13">
        <v>36440.303999999996</v>
      </c>
      <c r="E15" s="13">
        <v>18827.381006996213</v>
      </c>
      <c r="F15" s="13">
        <v>2160.2070191535727</v>
      </c>
      <c r="G15" s="59"/>
      <c r="H15" s="59"/>
    </row>
    <row r="16" spans="1:8" x14ac:dyDescent="0.25">
      <c r="A16" s="15">
        <v>40984</v>
      </c>
      <c r="B16" s="15">
        <v>40998</v>
      </c>
      <c r="C16" s="15">
        <v>41011</v>
      </c>
      <c r="D16" s="13">
        <v>37404.487999999998</v>
      </c>
      <c r="E16" s="13">
        <v>18679.454160632726</v>
      </c>
      <c r="F16" s="13">
        <v>2276.4966024284281</v>
      </c>
      <c r="G16" s="59"/>
      <c r="H16" s="59"/>
    </row>
    <row r="17" spans="1:8" x14ac:dyDescent="0.25">
      <c r="A17" s="15">
        <v>40998</v>
      </c>
      <c r="B17" s="15">
        <v>41012</v>
      </c>
      <c r="C17" s="15">
        <v>41025</v>
      </c>
      <c r="D17" s="13">
        <v>37070.603999999999</v>
      </c>
      <c r="E17" s="13">
        <v>20052.077101089348</v>
      </c>
      <c r="F17" s="13">
        <v>889.21855618897109</v>
      </c>
      <c r="G17" s="59"/>
      <c r="H17" s="59"/>
    </row>
    <row r="18" spans="1:8" x14ac:dyDescent="0.25">
      <c r="A18" s="15">
        <v>41012</v>
      </c>
      <c r="B18" s="15">
        <v>41026</v>
      </c>
      <c r="C18" s="15">
        <v>41039</v>
      </c>
      <c r="D18" s="13">
        <v>37771.588000000003</v>
      </c>
      <c r="E18" s="13">
        <v>20223.839584728732</v>
      </c>
      <c r="F18" s="13">
        <v>879.34165885242237</v>
      </c>
      <c r="G18" s="59"/>
      <c r="H18" s="59"/>
    </row>
    <row r="19" spans="1:8" x14ac:dyDescent="0.25">
      <c r="A19" s="15">
        <v>41026</v>
      </c>
      <c r="B19" s="15">
        <v>41040</v>
      </c>
      <c r="C19" s="15">
        <v>41053</v>
      </c>
      <c r="D19" s="13">
        <v>38233.218000000001</v>
      </c>
      <c r="E19" s="13">
        <v>20970.349479196313</v>
      </c>
      <c r="F19" s="13">
        <v>902.25453924526153</v>
      </c>
      <c r="G19" s="59"/>
      <c r="H19" s="59"/>
    </row>
    <row r="20" spans="1:8" x14ac:dyDescent="0.25">
      <c r="A20" s="15">
        <v>41040</v>
      </c>
      <c r="B20" s="15">
        <v>41054</v>
      </c>
      <c r="C20" s="15">
        <v>41067</v>
      </c>
      <c r="D20" s="13">
        <v>38446.463000000003</v>
      </c>
      <c r="E20" s="13">
        <v>21008.966156959748</v>
      </c>
      <c r="F20" s="13">
        <v>829.96289633460765</v>
      </c>
      <c r="G20" s="59"/>
      <c r="H20" s="59"/>
    </row>
    <row r="21" spans="1:8" x14ac:dyDescent="0.25">
      <c r="A21" s="15">
        <v>41054</v>
      </c>
      <c r="B21" s="15">
        <v>41068</v>
      </c>
      <c r="C21" s="15">
        <v>41081</v>
      </c>
      <c r="D21" s="13">
        <v>39030.042999999998</v>
      </c>
      <c r="E21" s="13">
        <v>20557.121805328985</v>
      </c>
      <c r="F21" s="13">
        <v>809.76726481783578</v>
      </c>
      <c r="G21" s="59"/>
      <c r="H21" s="59"/>
    </row>
    <row r="22" spans="1:8" x14ac:dyDescent="0.25">
      <c r="A22" s="15">
        <v>41068</v>
      </c>
      <c r="B22" s="15">
        <v>41082</v>
      </c>
      <c r="C22" s="15">
        <v>41095</v>
      </c>
      <c r="D22" s="13">
        <v>39154.932000000001</v>
      </c>
      <c r="E22" s="13">
        <v>20915.082174462706</v>
      </c>
      <c r="F22" s="13">
        <v>813.8712691694609</v>
      </c>
      <c r="G22" s="59"/>
      <c r="H22" s="59"/>
    </row>
    <row r="23" spans="1:8" x14ac:dyDescent="0.25">
      <c r="A23" s="15">
        <v>41082</v>
      </c>
      <c r="B23" s="15">
        <v>41096</v>
      </c>
      <c r="C23" s="15">
        <v>41109</v>
      </c>
      <c r="D23" s="13">
        <v>39060.396000000001</v>
      </c>
      <c r="E23" s="13">
        <v>21078.572226879016</v>
      </c>
      <c r="F23" s="13">
        <v>847.67532830399557</v>
      </c>
      <c r="G23" s="59"/>
      <c r="H23" s="59"/>
    </row>
    <row r="24" spans="1:8" x14ac:dyDescent="0.25">
      <c r="A24" s="15">
        <v>41096</v>
      </c>
      <c r="B24" s="15">
        <v>41110</v>
      </c>
      <c r="C24" s="15">
        <v>41123</v>
      </c>
      <c r="D24" s="13">
        <v>39390.224999999999</v>
      </c>
      <c r="E24" s="13">
        <v>21197.656041759219</v>
      </c>
      <c r="F24" s="13">
        <v>793.20357618836067</v>
      </c>
      <c r="G24" s="59"/>
      <c r="H24" s="59"/>
    </row>
    <row r="25" spans="1:8" x14ac:dyDescent="0.25">
      <c r="A25" s="15">
        <v>41110</v>
      </c>
      <c r="B25" s="15">
        <v>41124</v>
      </c>
      <c r="C25" s="15">
        <v>41137</v>
      </c>
      <c r="D25" s="13">
        <v>39061.974000000002</v>
      </c>
      <c r="E25" s="13">
        <v>21049.424717096826</v>
      </c>
      <c r="F25" s="13">
        <v>782.48062879759175</v>
      </c>
      <c r="G25" s="59"/>
      <c r="H25" s="59"/>
    </row>
    <row r="26" spans="1:8" x14ac:dyDescent="0.25">
      <c r="A26" s="15">
        <v>41124</v>
      </c>
      <c r="B26" s="15">
        <v>41138</v>
      </c>
      <c r="C26" s="15">
        <v>41151</v>
      </c>
      <c r="D26" s="13">
        <v>38797.921000000002</v>
      </c>
      <c r="E26" s="13">
        <v>20917.11779168529</v>
      </c>
      <c r="F26" s="13">
        <v>816.25894054537321</v>
      </c>
      <c r="G26" s="59"/>
      <c r="H26" s="59"/>
    </row>
    <row r="27" spans="1:8" x14ac:dyDescent="0.25">
      <c r="A27" s="15">
        <v>41138</v>
      </c>
      <c r="B27" s="15">
        <v>41152</v>
      </c>
      <c r="C27" s="15">
        <v>41165</v>
      </c>
      <c r="D27" s="13">
        <v>38637.002999999997</v>
      </c>
      <c r="E27" s="13">
        <v>21195.764975413498</v>
      </c>
      <c r="F27" s="13">
        <v>789.08582923558333</v>
      </c>
      <c r="G27" s="59"/>
      <c r="H27" s="59"/>
    </row>
    <row r="28" spans="1:8" x14ac:dyDescent="0.25">
      <c r="A28" s="15">
        <v>41152</v>
      </c>
      <c r="B28" s="15">
        <v>41166</v>
      </c>
      <c r="C28" s="15">
        <v>41179</v>
      </c>
      <c r="D28" s="13">
        <v>39007.231</v>
      </c>
      <c r="E28" s="13">
        <v>20889.534034311015</v>
      </c>
      <c r="F28" s="13">
        <v>737.43276148312123</v>
      </c>
      <c r="G28" s="59"/>
      <c r="H28" s="59"/>
    </row>
    <row r="29" spans="1:8" x14ac:dyDescent="0.25">
      <c r="A29" s="15">
        <v>41166</v>
      </c>
      <c r="B29" s="15">
        <v>41180</v>
      </c>
      <c r="C29" s="15">
        <v>41193</v>
      </c>
      <c r="D29" s="13">
        <v>39231.167000000001</v>
      </c>
      <c r="E29" s="13">
        <v>21166.094053633889</v>
      </c>
      <c r="F29" s="13">
        <v>744.20076619843428</v>
      </c>
      <c r="G29" s="59"/>
      <c r="H29" s="59"/>
    </row>
    <row r="30" spans="1:8" x14ac:dyDescent="0.25">
      <c r="A30" s="15">
        <v>41180</v>
      </c>
      <c r="B30" s="15">
        <v>41194</v>
      </c>
      <c r="C30" s="15">
        <v>41207</v>
      </c>
      <c r="D30" s="13">
        <v>38696.055999999997</v>
      </c>
      <c r="E30" s="13">
        <v>20998.339506172841</v>
      </c>
      <c r="F30" s="13">
        <v>764.21156004489342</v>
      </c>
      <c r="G30" s="59"/>
      <c r="H30" s="59"/>
    </row>
    <row r="31" spans="1:8" x14ac:dyDescent="0.25">
      <c r="A31" s="15">
        <v>41194</v>
      </c>
      <c r="B31" s="15">
        <v>41208</v>
      </c>
      <c r="C31" s="15">
        <v>41221</v>
      </c>
      <c r="D31" s="13">
        <v>39131.701000000001</v>
      </c>
      <c r="E31" s="13">
        <v>21098.228837518705</v>
      </c>
      <c r="F31" s="13">
        <v>695.71428571428567</v>
      </c>
      <c r="G31" s="59"/>
      <c r="H31" s="59"/>
    </row>
    <row r="32" spans="1:8" x14ac:dyDescent="0.25">
      <c r="A32" s="15">
        <v>41208</v>
      </c>
      <c r="B32" s="15">
        <v>41222</v>
      </c>
      <c r="C32" s="15">
        <v>41235</v>
      </c>
      <c r="D32" s="13">
        <v>39221.983999999997</v>
      </c>
      <c r="E32" s="13">
        <v>21344.08093776165</v>
      </c>
      <c r="F32" s="13">
        <v>698.59559028746855</v>
      </c>
      <c r="G32" s="59"/>
      <c r="H32" s="59"/>
    </row>
    <row r="33" spans="1:8" x14ac:dyDescent="0.25">
      <c r="A33" s="15">
        <v>41222</v>
      </c>
      <c r="B33" s="15">
        <v>41236</v>
      </c>
      <c r="C33" s="15">
        <v>41249</v>
      </c>
      <c r="D33" s="13">
        <v>38846.391000000003</v>
      </c>
      <c r="E33" s="13">
        <v>21289.306345363439</v>
      </c>
      <c r="F33" s="13">
        <v>774.70525308259664</v>
      </c>
      <c r="G33" s="59"/>
      <c r="H33" s="59"/>
    </row>
    <row r="34" spans="1:8" x14ac:dyDescent="0.25">
      <c r="A34" s="15">
        <v>41236</v>
      </c>
      <c r="B34" s="15">
        <v>41250</v>
      </c>
      <c r="C34" s="15">
        <v>41263</v>
      </c>
      <c r="D34" s="13">
        <v>38942.256999999998</v>
      </c>
      <c r="E34" s="13">
        <v>21124.850633759561</v>
      </c>
      <c r="F34" s="13">
        <v>770.70188173544034</v>
      </c>
      <c r="G34" s="59"/>
      <c r="H34" s="59"/>
    </row>
    <row r="35" spans="1:8" x14ac:dyDescent="0.25">
      <c r="A35" s="15">
        <v>41250</v>
      </c>
      <c r="B35" s="15">
        <v>41264</v>
      </c>
      <c r="C35" s="15">
        <v>41277</v>
      </c>
      <c r="D35" s="13">
        <v>38941.737999999998</v>
      </c>
      <c r="E35" s="13">
        <v>21268.997136279413</v>
      </c>
      <c r="F35" s="13">
        <v>773.4016508506935</v>
      </c>
      <c r="G35" s="59"/>
      <c r="H35" s="59"/>
    </row>
    <row r="36" spans="1:8" x14ac:dyDescent="0.25">
      <c r="A36" s="15">
        <v>41264</v>
      </c>
      <c r="B36" s="15">
        <v>41278</v>
      </c>
      <c r="C36" s="15">
        <v>41291</v>
      </c>
      <c r="D36" s="13">
        <v>40994.086000000003</v>
      </c>
      <c r="E36" s="13">
        <v>22453.630017452004</v>
      </c>
      <c r="F36" s="13">
        <v>860.23869841805993</v>
      </c>
      <c r="G36" s="59"/>
      <c r="H36" s="59"/>
    </row>
    <row r="37" spans="1:8" x14ac:dyDescent="0.25">
      <c r="A37" s="15">
        <v>41278</v>
      </c>
      <c r="B37" s="15">
        <v>41292</v>
      </c>
      <c r="C37" s="15">
        <v>41305</v>
      </c>
      <c r="D37" s="13">
        <v>41271.453000000001</v>
      </c>
      <c r="E37" s="13">
        <v>22576.441423656157</v>
      </c>
      <c r="F37" s="13">
        <v>898.59100908116648</v>
      </c>
      <c r="G37" s="59"/>
      <c r="H37" s="59"/>
    </row>
    <row r="38" spans="1:8" x14ac:dyDescent="0.25">
      <c r="A38" s="15">
        <v>41292</v>
      </c>
      <c r="B38" s="15">
        <v>41306</v>
      </c>
      <c r="C38" s="15">
        <v>41319</v>
      </c>
      <c r="D38" s="13">
        <v>41832.364999999998</v>
      </c>
      <c r="E38" s="13">
        <v>23121.433466590519</v>
      </c>
      <c r="F38" s="13">
        <v>928.35254026270707</v>
      </c>
      <c r="G38" s="59"/>
      <c r="H38" s="59"/>
    </row>
    <row r="39" spans="1:8" x14ac:dyDescent="0.25">
      <c r="A39" s="15">
        <v>41306</v>
      </c>
      <c r="B39" s="15">
        <v>41320</v>
      </c>
      <c r="C39" s="15">
        <v>41333</v>
      </c>
      <c r="D39" s="13">
        <v>44125.173999999999</v>
      </c>
      <c r="E39" s="13">
        <v>24238.257921130611</v>
      </c>
      <c r="F39" s="13">
        <v>969.92193640300889</v>
      </c>
      <c r="G39" s="59"/>
      <c r="H39" s="59"/>
    </row>
    <row r="40" spans="1:8" x14ac:dyDescent="0.25">
      <c r="A40" s="15">
        <v>41320</v>
      </c>
      <c r="B40" s="15">
        <v>41334</v>
      </c>
      <c r="C40" s="15">
        <v>41347</v>
      </c>
      <c r="D40" s="13">
        <v>44149.330999999998</v>
      </c>
      <c r="E40" s="13">
        <v>24119.779215619499</v>
      </c>
      <c r="F40" s="13">
        <v>1005.0867989102674</v>
      </c>
      <c r="G40" s="59"/>
      <c r="H40" s="59"/>
    </row>
    <row r="41" spans="1:8" x14ac:dyDescent="0.25">
      <c r="A41" s="15">
        <v>41334</v>
      </c>
      <c r="B41" s="15">
        <v>41348</v>
      </c>
      <c r="C41" s="15">
        <v>41361</v>
      </c>
      <c r="D41" s="13">
        <v>46275.603999999999</v>
      </c>
      <c r="E41" s="13">
        <v>24823.7410192147</v>
      </c>
      <c r="F41" s="13">
        <v>1039.6095761626286</v>
      </c>
      <c r="G41" s="59"/>
      <c r="H41" s="59"/>
    </row>
    <row r="42" spans="1:8" x14ac:dyDescent="0.25">
      <c r="A42" s="15">
        <v>41348</v>
      </c>
      <c r="B42" s="15">
        <v>41362</v>
      </c>
      <c r="C42" s="15">
        <v>41375</v>
      </c>
      <c r="D42" s="13">
        <v>47161.055999999997</v>
      </c>
      <c r="E42" s="13">
        <v>25024.764741574272</v>
      </c>
      <c r="F42" s="13">
        <v>1088.6329720337583</v>
      </c>
      <c r="G42" s="59"/>
      <c r="H42" s="59"/>
    </row>
    <row r="43" spans="1:8" x14ac:dyDescent="0.25">
      <c r="A43" s="15">
        <v>41362</v>
      </c>
      <c r="B43" s="15">
        <v>41376</v>
      </c>
      <c r="C43" s="15">
        <v>41389</v>
      </c>
      <c r="D43" s="13">
        <v>47033.43</v>
      </c>
      <c r="E43" s="13">
        <v>24938.511881788607</v>
      </c>
      <c r="F43" s="13">
        <v>1072.7541169984011</v>
      </c>
      <c r="G43" s="59"/>
      <c r="H43" s="59"/>
    </row>
    <row r="44" spans="1:8" x14ac:dyDescent="0.25">
      <c r="A44" s="15">
        <v>41376</v>
      </c>
      <c r="B44" s="15">
        <v>41390</v>
      </c>
      <c r="C44" s="15">
        <v>41403</v>
      </c>
      <c r="D44" s="13">
        <v>48220.889000000003</v>
      </c>
      <c r="E44" s="13">
        <v>26005.359964143649</v>
      </c>
      <c r="F44" s="13">
        <v>1122.7882295926943</v>
      </c>
      <c r="G44" s="59"/>
      <c r="H44" s="59"/>
    </row>
    <row r="45" spans="1:8" x14ac:dyDescent="0.25">
      <c r="A45" s="15">
        <v>41390</v>
      </c>
      <c r="B45" s="15">
        <v>41404</v>
      </c>
      <c r="C45" s="15">
        <v>41417</v>
      </c>
      <c r="D45" s="13">
        <v>49342.326999999997</v>
      </c>
      <c r="E45" s="13">
        <v>26367.006114508062</v>
      </c>
      <c r="F45" s="13">
        <v>1154.2509872151197</v>
      </c>
      <c r="G45" s="59"/>
      <c r="H45" s="59"/>
    </row>
    <row r="46" spans="1:8" x14ac:dyDescent="0.25">
      <c r="A46" s="15">
        <v>41404</v>
      </c>
      <c r="B46" s="15">
        <v>41418</v>
      </c>
      <c r="C46" s="15">
        <v>41431</v>
      </c>
      <c r="D46" s="13">
        <v>48972.584999999999</v>
      </c>
      <c r="E46" s="13">
        <v>26366.605396949548</v>
      </c>
      <c r="F46" s="13">
        <v>1151.7853282306273</v>
      </c>
      <c r="G46" s="59"/>
      <c r="H46" s="59"/>
    </row>
    <row r="47" spans="1:8" x14ac:dyDescent="0.25">
      <c r="A47" s="15">
        <v>41418</v>
      </c>
      <c r="B47" s="15">
        <v>41432</v>
      </c>
      <c r="C47" s="15">
        <v>41445</v>
      </c>
      <c r="D47" s="13">
        <v>51359.273999999998</v>
      </c>
      <c r="E47" s="13">
        <v>26734.815155118366</v>
      </c>
      <c r="F47" s="13">
        <v>1136.0713003999567</v>
      </c>
      <c r="G47" s="59"/>
      <c r="H47" s="59"/>
    </row>
    <row r="48" spans="1:8" x14ac:dyDescent="0.25">
      <c r="A48" s="15">
        <v>41432</v>
      </c>
      <c r="B48" s="15">
        <v>41446</v>
      </c>
      <c r="C48" s="15">
        <v>41459</v>
      </c>
      <c r="D48" s="13">
        <v>52514.98</v>
      </c>
      <c r="E48" s="13">
        <v>26992.495758218451</v>
      </c>
      <c r="F48" s="13">
        <v>1118.2670355249206</v>
      </c>
      <c r="G48" s="59"/>
      <c r="H48" s="59"/>
    </row>
    <row r="49" spans="1:8" x14ac:dyDescent="0.25">
      <c r="A49" s="15">
        <v>41446</v>
      </c>
      <c r="B49" s="15">
        <v>41460</v>
      </c>
      <c r="C49" s="15">
        <v>41473</v>
      </c>
      <c r="D49" s="13">
        <v>54047.154000000002</v>
      </c>
      <c r="E49" s="13">
        <v>27217.369299801729</v>
      </c>
      <c r="F49" s="13">
        <v>1070.421922153814</v>
      </c>
      <c r="G49" s="59"/>
      <c r="H49" s="59"/>
    </row>
    <row r="50" spans="1:8" x14ac:dyDescent="0.25">
      <c r="A50" s="15">
        <v>41460</v>
      </c>
      <c r="B50" s="15">
        <v>41474</v>
      </c>
      <c r="C50" s="15">
        <v>41487</v>
      </c>
      <c r="D50" s="13">
        <v>54592.525999999998</v>
      </c>
      <c r="E50" s="13">
        <v>27017.713787085515</v>
      </c>
      <c r="F50" s="13">
        <v>1044.3844199774151</v>
      </c>
      <c r="G50" s="59"/>
      <c r="H50" s="59"/>
    </row>
    <row r="51" spans="1:8" x14ac:dyDescent="0.25">
      <c r="A51" s="15">
        <v>41474</v>
      </c>
      <c r="B51" s="15">
        <v>41488</v>
      </c>
      <c r="C51" s="15">
        <v>41501</v>
      </c>
      <c r="D51" s="13">
        <v>54463.427000000003</v>
      </c>
      <c r="E51" s="13">
        <v>27374.576810686704</v>
      </c>
      <c r="F51" s="13">
        <v>1074.8046201210602</v>
      </c>
      <c r="G51" s="59"/>
      <c r="H51" s="59"/>
    </row>
    <row r="52" spans="1:8" x14ac:dyDescent="0.25">
      <c r="A52" s="15">
        <v>41488</v>
      </c>
      <c r="B52" s="15">
        <v>41502</v>
      </c>
      <c r="C52" s="15">
        <v>41515</v>
      </c>
      <c r="D52" s="13">
        <v>56369.436999999998</v>
      </c>
      <c r="E52" s="13">
        <v>28132.622357744585</v>
      </c>
      <c r="F52" s="13">
        <v>1083.0979683704584</v>
      </c>
      <c r="G52" s="59"/>
      <c r="H52" s="59"/>
    </row>
    <row r="53" spans="1:8" x14ac:dyDescent="0.25">
      <c r="A53" s="15">
        <v>41502</v>
      </c>
      <c r="B53" s="15">
        <v>41519</v>
      </c>
      <c r="C53" s="15">
        <v>41529</v>
      </c>
      <c r="D53" s="13">
        <v>56949.667000000001</v>
      </c>
      <c r="E53" s="13">
        <v>28599.343565280513</v>
      </c>
      <c r="F53" s="13">
        <v>1117.8113657575443</v>
      </c>
      <c r="G53" s="59"/>
      <c r="H53" s="59"/>
    </row>
    <row r="54" spans="1:8" x14ac:dyDescent="0.25">
      <c r="A54" s="15">
        <v>41519</v>
      </c>
      <c r="B54" s="15">
        <v>41530</v>
      </c>
      <c r="C54" s="15">
        <v>41543</v>
      </c>
      <c r="D54" s="13">
        <v>61832.656000000003</v>
      </c>
      <c r="E54" s="13">
        <v>29009.309237729245</v>
      </c>
      <c r="F54" s="13">
        <v>1099.3316733959236</v>
      </c>
      <c r="G54" s="59"/>
      <c r="H54" s="59"/>
    </row>
    <row r="55" spans="1:8" x14ac:dyDescent="0.25">
      <c r="A55" s="15">
        <v>41530</v>
      </c>
      <c r="B55" s="15">
        <v>41544</v>
      </c>
      <c r="C55" s="15">
        <v>41557</v>
      </c>
      <c r="D55" s="13">
        <v>60608.707999999999</v>
      </c>
      <c r="E55" s="13">
        <v>29005.087814772669</v>
      </c>
      <c r="F55" s="13">
        <v>1031.6315069509719</v>
      </c>
      <c r="G55" s="59"/>
      <c r="H55" s="59"/>
    </row>
    <row r="56" spans="1:8" x14ac:dyDescent="0.25">
      <c r="A56" s="15">
        <v>41544</v>
      </c>
      <c r="B56" s="15">
        <v>41558</v>
      </c>
      <c r="C56" s="15">
        <v>41571</v>
      </c>
      <c r="D56" s="13">
        <v>61145.752999999997</v>
      </c>
      <c r="E56" s="13">
        <v>29409.474233464192</v>
      </c>
      <c r="F56" s="13">
        <v>1076.1937429806687</v>
      </c>
      <c r="G56" s="59"/>
      <c r="H56" s="59"/>
    </row>
    <row r="57" spans="1:8" x14ac:dyDescent="0.25">
      <c r="A57" s="15">
        <v>41558</v>
      </c>
      <c r="B57" s="15">
        <v>41572</v>
      </c>
      <c r="C57" s="15">
        <v>41585</v>
      </c>
      <c r="D57" s="13">
        <v>60425.94</v>
      </c>
      <c r="E57" s="13">
        <v>29548.703919089759</v>
      </c>
      <c r="F57" s="13">
        <v>1059.4378998735779</v>
      </c>
      <c r="G57" s="59"/>
      <c r="H57" s="59"/>
    </row>
    <row r="58" spans="1:8" x14ac:dyDescent="0.25">
      <c r="A58" s="15">
        <v>41572</v>
      </c>
      <c r="B58" s="15">
        <v>41586</v>
      </c>
      <c r="C58" s="15">
        <v>41599</v>
      </c>
      <c r="D58" s="13">
        <v>61247.792999999998</v>
      </c>
      <c r="E58" s="13">
        <v>29935.362854251012</v>
      </c>
      <c r="F58" s="13">
        <v>1085.2868512145749</v>
      </c>
      <c r="G58" s="59"/>
      <c r="H58" s="59"/>
    </row>
    <row r="59" spans="1:8" x14ac:dyDescent="0.25">
      <c r="A59" s="15">
        <v>41586</v>
      </c>
      <c r="B59" s="15">
        <v>41600</v>
      </c>
      <c r="C59" s="15">
        <v>41613</v>
      </c>
      <c r="D59" s="13">
        <v>62678.6</v>
      </c>
      <c r="E59" s="13">
        <v>29890.862799172653</v>
      </c>
      <c r="F59" s="13">
        <v>1034.2698744213533</v>
      </c>
      <c r="G59" s="59"/>
      <c r="H59" s="59"/>
    </row>
    <row r="60" spans="1:8" x14ac:dyDescent="0.25">
      <c r="A60" s="15">
        <v>41600</v>
      </c>
      <c r="B60" s="15">
        <v>41614</v>
      </c>
      <c r="C60" s="15">
        <v>41627</v>
      </c>
      <c r="D60" s="13">
        <v>62829.542999999998</v>
      </c>
      <c r="E60" s="13">
        <v>30182.851196670134</v>
      </c>
      <c r="F60" s="13">
        <v>1031.1988598186413</v>
      </c>
      <c r="G60" s="59"/>
      <c r="H60" s="59"/>
    </row>
    <row r="61" spans="1:8" x14ac:dyDescent="0.25">
      <c r="A61" s="15">
        <v>41614</v>
      </c>
      <c r="B61" s="15">
        <v>41628</v>
      </c>
      <c r="C61" s="15">
        <v>41641</v>
      </c>
      <c r="D61" s="13">
        <v>65484.756999999998</v>
      </c>
      <c r="E61" s="13">
        <v>30965.83976174202</v>
      </c>
      <c r="F61" s="13">
        <v>1051.1052070110341</v>
      </c>
      <c r="G61" s="59"/>
      <c r="H61" s="59"/>
    </row>
    <row r="62" spans="1:8" x14ac:dyDescent="0.25">
      <c r="A62" s="15">
        <v>41628</v>
      </c>
      <c r="B62" s="15">
        <v>41642</v>
      </c>
      <c r="C62" s="15">
        <v>41655</v>
      </c>
      <c r="D62" s="13">
        <v>66477.298999999999</v>
      </c>
      <c r="E62" s="13">
        <v>31243.947496118013</v>
      </c>
      <c r="F62" s="13">
        <v>1039.0739004270185</v>
      </c>
      <c r="G62" s="59"/>
      <c r="H62" s="59"/>
    </row>
    <row r="63" spans="1:8" x14ac:dyDescent="0.25">
      <c r="A63" s="15">
        <v>41642</v>
      </c>
      <c r="B63" s="15">
        <v>41656</v>
      </c>
      <c r="C63" s="15">
        <v>41669</v>
      </c>
      <c r="D63" s="13">
        <v>69234.468999999997</v>
      </c>
      <c r="E63" s="13">
        <v>30899.810295607327</v>
      </c>
      <c r="F63" s="13">
        <v>979.562465696657</v>
      </c>
      <c r="G63" s="59"/>
      <c r="H63" s="59"/>
    </row>
    <row r="64" spans="1:8" x14ac:dyDescent="0.25">
      <c r="A64" s="15">
        <v>41656</v>
      </c>
      <c r="B64" s="15">
        <v>41670</v>
      </c>
      <c r="C64" s="15">
        <v>41683</v>
      </c>
      <c r="D64" s="13">
        <v>68308.501999999993</v>
      </c>
      <c r="E64" s="13">
        <v>30146.144605621033</v>
      </c>
      <c r="F64" s="13">
        <v>921.14192157751586</v>
      </c>
      <c r="G64" s="59"/>
      <c r="H64" s="59"/>
    </row>
    <row r="65" spans="1:8" x14ac:dyDescent="0.25">
      <c r="A65" s="15">
        <v>41670</v>
      </c>
      <c r="B65" s="15">
        <v>41684</v>
      </c>
      <c r="C65" s="15">
        <v>41697</v>
      </c>
      <c r="D65" s="13">
        <v>71022.289000000004</v>
      </c>
      <c r="E65" s="13">
        <v>30355.305549462602</v>
      </c>
      <c r="F65" s="13">
        <v>844.49516385172183</v>
      </c>
      <c r="G65" s="59"/>
      <c r="H65" s="59"/>
    </row>
    <row r="66" spans="1:8" x14ac:dyDescent="0.25">
      <c r="A66" s="15">
        <v>41684</v>
      </c>
      <c r="B66" s="15">
        <v>41698</v>
      </c>
      <c r="C66" s="15">
        <v>41711</v>
      </c>
      <c r="D66" s="13">
        <v>70462.895000000004</v>
      </c>
      <c r="E66" s="13">
        <v>31190.214516202337</v>
      </c>
      <c r="F66" s="13">
        <v>903.44874108076169</v>
      </c>
      <c r="G66" s="59"/>
      <c r="H66" s="59"/>
    </row>
    <row r="67" spans="1:8" x14ac:dyDescent="0.25">
      <c r="A67" s="15">
        <v>41698</v>
      </c>
      <c r="B67" s="15">
        <v>41712</v>
      </c>
      <c r="C67" s="15">
        <v>41725</v>
      </c>
      <c r="D67" s="13">
        <v>71579.101999999999</v>
      </c>
      <c r="E67" s="13">
        <v>31176.462268373467</v>
      </c>
      <c r="F67" s="13">
        <v>871.8552117088891</v>
      </c>
      <c r="G67" s="59"/>
      <c r="H67" s="59"/>
    </row>
    <row r="68" spans="1:8" x14ac:dyDescent="0.25">
      <c r="A68" s="15">
        <v>41712</v>
      </c>
      <c r="B68" s="15">
        <v>41726</v>
      </c>
      <c r="C68" s="15">
        <v>41739</v>
      </c>
      <c r="D68" s="13">
        <v>72173.03</v>
      </c>
      <c r="E68" s="13">
        <v>31681.835101600431</v>
      </c>
      <c r="F68" s="13">
        <v>828.97154378708865</v>
      </c>
      <c r="G68" s="59"/>
      <c r="H68" s="59"/>
    </row>
    <row r="69" spans="1:8" x14ac:dyDescent="0.25">
      <c r="A69" s="15">
        <v>41726</v>
      </c>
      <c r="B69" s="15">
        <v>41740</v>
      </c>
      <c r="C69" s="15">
        <v>41753</v>
      </c>
      <c r="D69" s="13">
        <v>72498.618000000002</v>
      </c>
      <c r="E69" s="13">
        <v>32295.168400876235</v>
      </c>
      <c r="F69" s="13">
        <v>806.09263052208837</v>
      </c>
      <c r="G69" s="59"/>
      <c r="H69" s="59"/>
    </row>
    <row r="70" spans="1:8" x14ac:dyDescent="0.25">
      <c r="A70" s="15">
        <v>41740</v>
      </c>
      <c r="B70" s="15">
        <v>41754</v>
      </c>
      <c r="C70" s="15">
        <v>41767</v>
      </c>
      <c r="D70" s="13">
        <v>69879.846000000005</v>
      </c>
      <c r="E70" s="13">
        <v>32952.139284523415</v>
      </c>
      <c r="F70" s="13">
        <v>851.062731863002</v>
      </c>
      <c r="G70" s="59"/>
      <c r="H70" s="59"/>
    </row>
    <row r="71" spans="1:8" x14ac:dyDescent="0.25">
      <c r="A71" s="15">
        <v>41754</v>
      </c>
      <c r="B71" s="15">
        <v>41768</v>
      </c>
      <c r="C71" s="15">
        <v>41781</v>
      </c>
      <c r="D71" s="13">
        <v>71784.788</v>
      </c>
      <c r="E71" s="13">
        <v>33093.828026371157</v>
      </c>
      <c r="F71" s="13">
        <v>845.62042595969513</v>
      </c>
      <c r="G71" s="59"/>
      <c r="H71" s="59"/>
    </row>
    <row r="72" spans="1:8" x14ac:dyDescent="0.25">
      <c r="A72" s="15">
        <v>41768</v>
      </c>
      <c r="B72" s="15">
        <v>41782</v>
      </c>
      <c r="C72" s="15">
        <v>41795</v>
      </c>
      <c r="D72" s="13">
        <v>70132.982999999993</v>
      </c>
      <c r="E72" s="13">
        <v>33314.982165236666</v>
      </c>
      <c r="F72" s="13">
        <v>874.6501942543141</v>
      </c>
      <c r="G72" s="59"/>
      <c r="H72" s="59"/>
    </row>
    <row r="73" spans="1:8" x14ac:dyDescent="0.25">
      <c r="A73" s="15">
        <v>41782</v>
      </c>
      <c r="B73" s="15">
        <v>41796</v>
      </c>
      <c r="C73" s="15">
        <v>41809</v>
      </c>
      <c r="D73" s="13">
        <v>71041.714000000007</v>
      </c>
      <c r="E73" s="13">
        <v>33371.07451842646</v>
      </c>
      <c r="F73" s="13">
        <v>883.12013335882614</v>
      </c>
      <c r="G73" s="59"/>
      <c r="H73" s="59"/>
    </row>
    <row r="74" spans="1:8" x14ac:dyDescent="0.25">
      <c r="A74" s="15">
        <v>41796</v>
      </c>
      <c r="B74" s="15">
        <v>41810</v>
      </c>
      <c r="C74" s="15">
        <v>41823</v>
      </c>
      <c r="D74" s="13">
        <v>70978.039000000004</v>
      </c>
      <c r="E74" s="13">
        <v>33171.294934465099</v>
      </c>
      <c r="F74" s="13">
        <v>883.40504674059082</v>
      </c>
      <c r="G74" s="59"/>
      <c r="H74" s="59"/>
    </row>
    <row r="75" spans="1:8" x14ac:dyDescent="0.25">
      <c r="A75" s="15">
        <v>41810</v>
      </c>
      <c r="B75" s="15">
        <v>41824</v>
      </c>
      <c r="C75" s="15">
        <v>41837</v>
      </c>
      <c r="D75" s="13">
        <v>71070.100000000006</v>
      </c>
      <c r="E75" s="13">
        <v>34629.935324901264</v>
      </c>
      <c r="F75" s="13">
        <v>909.4035655705917</v>
      </c>
      <c r="G75" s="59"/>
      <c r="H75" s="59"/>
    </row>
    <row r="76" spans="1:8" x14ac:dyDescent="0.25">
      <c r="A76" s="15">
        <v>41824</v>
      </c>
      <c r="B76" s="15">
        <v>41838</v>
      </c>
      <c r="C76" s="15">
        <v>41851</v>
      </c>
      <c r="D76" s="13">
        <v>69881.997000000003</v>
      </c>
      <c r="E76" s="13">
        <v>32995.097411091301</v>
      </c>
      <c r="F76" s="13">
        <v>885.84152286102596</v>
      </c>
      <c r="G76" s="59"/>
      <c r="H76" s="59"/>
    </row>
    <row r="77" spans="1:8" x14ac:dyDescent="0.25">
      <c r="A77" s="15">
        <v>41838</v>
      </c>
      <c r="B77" s="15">
        <v>41852</v>
      </c>
      <c r="C77" s="15">
        <v>41865</v>
      </c>
      <c r="D77" s="13">
        <v>69910.453999999998</v>
      </c>
      <c r="E77" s="13">
        <v>32583.411856462935</v>
      </c>
      <c r="F77" s="13">
        <v>870.2542323646544</v>
      </c>
      <c r="G77" s="59"/>
      <c r="H77" s="59"/>
    </row>
    <row r="78" spans="1:8" x14ac:dyDescent="0.25">
      <c r="A78" s="15">
        <v>41852</v>
      </c>
      <c r="B78" s="15">
        <v>41866</v>
      </c>
      <c r="C78" s="15">
        <v>41879</v>
      </c>
      <c r="D78" s="13">
        <v>71290.92</v>
      </c>
      <c r="E78" s="13">
        <v>32695.470209675153</v>
      </c>
      <c r="F78" s="13">
        <v>866.68788077991451</v>
      </c>
      <c r="G78" s="59"/>
      <c r="H78" s="59"/>
    </row>
    <row r="79" spans="1:8" x14ac:dyDescent="0.25">
      <c r="A79" s="15">
        <v>41866</v>
      </c>
      <c r="B79" s="15">
        <v>41880</v>
      </c>
      <c r="C79" s="15">
        <v>41893</v>
      </c>
      <c r="D79" s="13">
        <v>72994.312000000005</v>
      </c>
      <c r="E79" s="13">
        <v>33394.303362759194</v>
      </c>
      <c r="F79" s="13">
        <v>829.76771962402006</v>
      </c>
      <c r="G79" s="59"/>
      <c r="H79" s="59"/>
    </row>
    <row r="80" spans="1:8" x14ac:dyDescent="0.25">
      <c r="A80" s="15">
        <v>41880</v>
      </c>
      <c r="B80" s="15">
        <v>41894</v>
      </c>
      <c r="C80" s="15">
        <v>41907</v>
      </c>
      <c r="D80" s="13">
        <v>73170.891000000003</v>
      </c>
      <c r="E80" s="13">
        <v>33582.630659836257</v>
      </c>
      <c r="F80" s="13">
        <v>805.34022587224558</v>
      </c>
      <c r="G80" s="59"/>
      <c r="H80" s="59"/>
    </row>
    <row r="81" spans="1:8" x14ac:dyDescent="0.25">
      <c r="A81" s="15">
        <v>41894</v>
      </c>
      <c r="B81" s="15">
        <v>41908</v>
      </c>
      <c r="C81" s="15">
        <v>41921</v>
      </c>
      <c r="D81" s="13">
        <v>73624.962</v>
      </c>
      <c r="E81" s="13">
        <v>33572.812230158728</v>
      </c>
      <c r="F81" s="13">
        <v>806.34506453112772</v>
      </c>
      <c r="G81" s="59"/>
      <c r="H81" s="59"/>
    </row>
    <row r="82" spans="1:8" x14ac:dyDescent="0.25">
      <c r="A82" s="15">
        <v>41908</v>
      </c>
      <c r="B82" s="15">
        <v>41922</v>
      </c>
      <c r="C82" s="15">
        <v>41935</v>
      </c>
      <c r="D82" s="13">
        <v>76201.555999999997</v>
      </c>
      <c r="E82" s="13">
        <v>33442.879392491777</v>
      </c>
      <c r="F82" s="13">
        <v>813.54777136726432</v>
      </c>
      <c r="G82" s="59"/>
      <c r="H82" s="59"/>
    </row>
    <row r="83" spans="1:8" x14ac:dyDescent="0.25">
      <c r="A83" s="15">
        <v>41922</v>
      </c>
      <c r="B83" s="15">
        <v>41936</v>
      </c>
      <c r="C83" s="15">
        <v>41949</v>
      </c>
      <c r="D83" s="13">
        <v>77154.324999999997</v>
      </c>
      <c r="E83" s="13">
        <v>33916.335268595227</v>
      </c>
      <c r="F83" s="13">
        <v>807.53081497356629</v>
      </c>
      <c r="G83" s="59"/>
      <c r="H83" s="59"/>
    </row>
    <row r="84" spans="1:8" x14ac:dyDescent="0.25">
      <c r="A84" s="15">
        <v>41936</v>
      </c>
      <c r="B84" s="15">
        <v>41950</v>
      </c>
      <c r="C84" s="15">
        <v>41963</v>
      </c>
      <c r="D84" s="13">
        <v>77578.183999999994</v>
      </c>
      <c r="E84" s="13">
        <v>34278.415537121415</v>
      </c>
      <c r="F84" s="13">
        <v>796.76181503859561</v>
      </c>
      <c r="G84" s="59"/>
      <c r="H84" s="59"/>
    </row>
    <row r="85" spans="1:8" x14ac:dyDescent="0.25">
      <c r="A85" s="15">
        <v>41950</v>
      </c>
      <c r="B85" s="15">
        <v>41964</v>
      </c>
      <c r="C85" s="15">
        <v>41977</v>
      </c>
      <c r="D85" s="13">
        <v>78370.134999999995</v>
      </c>
      <c r="E85" s="13">
        <v>34384.180779961585</v>
      </c>
      <c r="F85" s="13">
        <v>848.76278719937909</v>
      </c>
      <c r="G85" s="59"/>
      <c r="H85" s="59"/>
    </row>
    <row r="86" spans="1:8" x14ac:dyDescent="0.25">
      <c r="A86" s="15">
        <v>41964</v>
      </c>
      <c r="B86" s="15">
        <v>41978</v>
      </c>
      <c r="C86" s="15">
        <v>41991</v>
      </c>
      <c r="D86" s="13">
        <v>78298.634999999995</v>
      </c>
      <c r="E86" s="13">
        <v>34236.247793610251</v>
      </c>
      <c r="F86" s="13">
        <v>861.35442415639136</v>
      </c>
      <c r="G86" s="59"/>
      <c r="H86" s="59"/>
    </row>
    <row r="87" spans="1:8" x14ac:dyDescent="0.25">
      <c r="A87" s="15">
        <v>41978</v>
      </c>
      <c r="B87" s="15">
        <v>41992</v>
      </c>
      <c r="C87" s="15">
        <v>42005</v>
      </c>
      <c r="D87" s="13">
        <v>76282.631999999998</v>
      </c>
      <c r="E87" s="13">
        <v>33773.810945311452</v>
      </c>
      <c r="F87" s="13">
        <v>833.74562394934878</v>
      </c>
      <c r="G87" s="59"/>
      <c r="H87" s="59"/>
    </row>
    <row r="88" spans="1:8" x14ac:dyDescent="0.25">
      <c r="A88" s="15">
        <v>41992</v>
      </c>
      <c r="B88" s="15">
        <v>42006</v>
      </c>
      <c r="C88" s="15">
        <v>42019</v>
      </c>
      <c r="D88" s="13">
        <v>77291.142000000007</v>
      </c>
      <c r="E88" s="13">
        <v>32791.16583263022</v>
      </c>
      <c r="F88" s="13">
        <v>737.22374868539418</v>
      </c>
      <c r="G88" s="59"/>
      <c r="H88" s="59"/>
    </row>
    <row r="89" spans="1:8" x14ac:dyDescent="0.25">
      <c r="A89" s="15">
        <v>42006</v>
      </c>
      <c r="B89" s="15">
        <v>42020</v>
      </c>
      <c r="C89" s="15">
        <v>42033</v>
      </c>
      <c r="D89" s="13">
        <v>76438.207999999999</v>
      </c>
      <c r="E89" s="13">
        <v>32870.938077699946</v>
      </c>
      <c r="F89" s="13">
        <v>734.78851449879642</v>
      </c>
      <c r="G89" s="59"/>
      <c r="H89" s="59"/>
    </row>
    <row r="90" spans="1:8" x14ac:dyDescent="0.25">
      <c r="A90" s="15">
        <v>42020</v>
      </c>
      <c r="B90" s="15">
        <v>42034</v>
      </c>
      <c r="C90" s="15">
        <v>42047</v>
      </c>
      <c r="D90" s="13">
        <v>76390.998000000007</v>
      </c>
      <c r="E90" s="13">
        <v>32810.777755558483</v>
      </c>
      <c r="F90" s="13">
        <v>711.81528533132303</v>
      </c>
      <c r="G90" s="59"/>
      <c r="H90" s="59"/>
    </row>
    <row r="91" spans="1:8" x14ac:dyDescent="0.25">
      <c r="A91" s="15">
        <v>42034</v>
      </c>
      <c r="B91" s="15">
        <v>42048</v>
      </c>
      <c r="C91" s="15">
        <v>42061</v>
      </c>
      <c r="D91" s="13">
        <v>78495.736000000004</v>
      </c>
      <c r="E91" s="13">
        <v>32546.798222546124</v>
      </c>
      <c r="F91" s="13">
        <v>593.43608968486808</v>
      </c>
      <c r="G91" s="59"/>
      <c r="H91" s="59"/>
    </row>
    <row r="92" spans="1:8" x14ac:dyDescent="0.25">
      <c r="A92" s="15">
        <v>42048</v>
      </c>
      <c r="B92" s="15">
        <v>42062</v>
      </c>
      <c r="C92" s="15">
        <v>42075</v>
      </c>
      <c r="D92" s="13">
        <v>89607.671000000002</v>
      </c>
      <c r="E92" s="13">
        <v>36187.315611910315</v>
      </c>
      <c r="F92" s="13">
        <v>530.84967126315996</v>
      </c>
      <c r="G92" s="59"/>
      <c r="H92" s="59"/>
    </row>
    <row r="93" spans="1:8" x14ac:dyDescent="0.25">
      <c r="A93" s="15">
        <v>42062</v>
      </c>
      <c r="B93" s="15">
        <v>42076</v>
      </c>
      <c r="C93" s="15">
        <v>42089</v>
      </c>
      <c r="D93" s="13">
        <v>90217.921000000002</v>
      </c>
      <c r="E93" s="13">
        <v>36441.016885741948</v>
      </c>
      <c r="F93" s="13">
        <v>528.32922088992723</v>
      </c>
      <c r="G93" s="59"/>
      <c r="H93" s="59"/>
    </row>
    <row r="94" spans="1:8" x14ac:dyDescent="0.25">
      <c r="A94" s="15">
        <f>+'TLZK Kal'!A96</f>
        <v>42076</v>
      </c>
      <c r="B94" s="15">
        <v>42090</v>
      </c>
      <c r="C94" s="15">
        <v>42103</v>
      </c>
      <c r="D94" s="13">
        <v>96027.752000000008</v>
      </c>
      <c r="E94" s="13">
        <v>38116.580179033561</v>
      </c>
      <c r="F94" s="13">
        <v>485.30055851976419</v>
      </c>
      <c r="G94" s="59"/>
      <c r="H94" s="59"/>
    </row>
    <row r="95" spans="1:8" x14ac:dyDescent="0.25">
      <c r="A95" s="15">
        <f>+'TLZK Kal'!A97</f>
        <v>42090</v>
      </c>
      <c r="B95" s="15">
        <v>42104</v>
      </c>
      <c r="C95" s="15">
        <v>42117</v>
      </c>
      <c r="D95" s="13">
        <v>98143.731</v>
      </c>
      <c r="E95" s="13">
        <v>38230.747489214998</v>
      </c>
      <c r="F95" s="13">
        <v>476.83381335181798</v>
      </c>
      <c r="G95" s="59"/>
      <c r="H95" s="59"/>
    </row>
    <row r="96" spans="1:8" x14ac:dyDescent="0.25">
      <c r="A96" s="15">
        <f>+'TLZK Kal'!A98</f>
        <v>42104</v>
      </c>
      <c r="B96" s="15">
        <v>42118</v>
      </c>
      <c r="C96" s="15">
        <v>42131</v>
      </c>
      <c r="D96" s="13">
        <v>97451.153000000006</v>
      </c>
      <c r="E96" s="13">
        <v>37941.565115647041</v>
      </c>
      <c r="F96" s="13">
        <v>460.23663598386122</v>
      </c>
      <c r="G96" s="59"/>
      <c r="H96" s="59"/>
    </row>
    <row r="97" spans="1:8" x14ac:dyDescent="0.25">
      <c r="A97" s="15">
        <f>+'TLZK Kal'!A99</f>
        <v>42118</v>
      </c>
      <c r="B97" s="15">
        <v>42132</v>
      </c>
      <c r="C97" s="15">
        <v>42145</v>
      </c>
      <c r="D97" s="13">
        <v>100748.50600000001</v>
      </c>
      <c r="E97" s="13">
        <v>38056.28907656535</v>
      </c>
      <c r="F97" s="13">
        <v>443.2202452226129</v>
      </c>
      <c r="G97" s="59"/>
      <c r="H97" s="59"/>
    </row>
    <row r="98" spans="1:8" x14ac:dyDescent="0.25">
      <c r="A98" s="15">
        <f>+'TLZK Kal'!A100</f>
        <v>42132</v>
      </c>
      <c r="B98" s="15">
        <v>42146</v>
      </c>
      <c r="C98" s="15">
        <v>42159</v>
      </c>
      <c r="D98" s="13">
        <v>103529.10400000001</v>
      </c>
      <c r="E98" s="13">
        <v>38642.306533629599</v>
      </c>
      <c r="F98" s="13">
        <v>437.96566710745901</v>
      </c>
      <c r="G98" s="59"/>
      <c r="H98" s="59"/>
    </row>
    <row r="99" spans="1:8" x14ac:dyDescent="0.25">
      <c r="A99" s="15">
        <f>+'TLZK Kal'!A101</f>
        <v>42146</v>
      </c>
      <c r="B99" s="15">
        <v>42160</v>
      </c>
      <c r="C99" s="15">
        <v>42173</v>
      </c>
      <c r="D99" s="13">
        <v>99840.888999999996</v>
      </c>
      <c r="E99" s="13">
        <v>39118.051508746001</v>
      </c>
      <c r="F99" s="13">
        <v>427.88404019118798</v>
      </c>
      <c r="G99" s="59"/>
      <c r="H99" s="59"/>
    </row>
    <row r="100" spans="1:8" x14ac:dyDescent="0.25">
      <c r="A100" s="15">
        <f>+'TLZK Kal'!A102</f>
        <v>42160</v>
      </c>
      <c r="B100" s="15">
        <v>42174</v>
      </c>
      <c r="C100" s="15">
        <v>42187</v>
      </c>
      <c r="D100" s="13">
        <v>104845.944</v>
      </c>
      <c r="E100" s="13">
        <v>38931.322268018303</v>
      </c>
      <c r="F100" s="13">
        <v>396.41035410229102</v>
      </c>
      <c r="G100" s="59"/>
      <c r="H100" s="59"/>
    </row>
    <row r="101" spans="1:8" x14ac:dyDescent="0.25">
      <c r="A101" s="15">
        <f>+'TLZK Kal'!A103</f>
        <v>42174</v>
      </c>
      <c r="B101" s="15">
        <v>42188</v>
      </c>
      <c r="C101" s="15">
        <v>42201</v>
      </c>
      <c r="D101" s="13">
        <v>108490.772</v>
      </c>
      <c r="E101" s="13">
        <v>40002.496958076772</v>
      </c>
      <c r="F101" s="13">
        <v>417.49523572806481</v>
      </c>
      <c r="G101" s="59"/>
      <c r="H101" s="59"/>
    </row>
    <row r="102" spans="1:8" x14ac:dyDescent="0.25">
      <c r="A102" s="15">
        <f>+'TLZK Kal'!A104</f>
        <v>42188</v>
      </c>
      <c r="B102" s="15">
        <v>42205</v>
      </c>
      <c r="C102" s="15">
        <v>42215</v>
      </c>
      <c r="D102" s="13">
        <v>106256.531</v>
      </c>
      <c r="E102" s="13">
        <v>39481.840956727901</v>
      </c>
      <c r="F102" s="13">
        <v>402.96892051980302</v>
      </c>
      <c r="G102" s="59"/>
      <c r="H102" s="59"/>
    </row>
    <row r="103" spans="1:8" x14ac:dyDescent="0.25">
      <c r="A103" s="15">
        <f>+'TLZK Kal'!A105</f>
        <v>42205</v>
      </c>
      <c r="B103" s="15">
        <v>42216</v>
      </c>
      <c r="C103" s="15">
        <v>42229</v>
      </c>
      <c r="D103" s="13">
        <v>105014.54399999999</v>
      </c>
      <c r="E103" s="13">
        <v>39890.861407112498</v>
      </c>
      <c r="F103" s="13">
        <v>415.67567886422802</v>
      </c>
      <c r="G103" s="59"/>
      <c r="H103" s="59"/>
    </row>
    <row r="104" spans="1:8" x14ac:dyDescent="0.25">
      <c r="A104" s="15">
        <f>+'TLZK Kal'!A106</f>
        <v>42216</v>
      </c>
      <c r="B104" s="15">
        <v>42230</v>
      </c>
      <c r="C104" s="15">
        <v>42243</v>
      </c>
      <c r="D104" s="13">
        <v>109470.871</v>
      </c>
      <c r="E104" s="13">
        <v>39596.359593800698</v>
      </c>
      <c r="F104" s="13">
        <v>416.60273078307603</v>
      </c>
      <c r="G104" s="59"/>
      <c r="H104" s="59"/>
    </row>
    <row r="105" spans="1:8" x14ac:dyDescent="0.25">
      <c r="A105" s="15">
        <f>+'TLZK Kal'!A107</f>
        <v>42230</v>
      </c>
      <c r="B105" s="15">
        <v>42244</v>
      </c>
      <c r="C105" s="15">
        <v>42257</v>
      </c>
      <c r="D105" s="13">
        <v>109923.473</v>
      </c>
      <c r="E105" s="13">
        <v>39498.193675889335</v>
      </c>
      <c r="F105" s="13">
        <v>423.33733742791065</v>
      </c>
      <c r="G105" s="59"/>
      <c r="H105" s="59"/>
    </row>
    <row r="106" spans="1:8" x14ac:dyDescent="0.25">
      <c r="A106" s="15">
        <f>+'TLZK Kal'!A108</f>
        <v>42244</v>
      </c>
      <c r="B106" s="15">
        <v>42258</v>
      </c>
      <c r="C106" s="15">
        <v>42271</v>
      </c>
      <c r="D106" s="13">
        <v>114634.531</v>
      </c>
      <c r="E106" s="13">
        <v>41161.942478229488</v>
      </c>
      <c r="F106" s="13">
        <v>369.07869198354166</v>
      </c>
      <c r="G106" s="59"/>
      <c r="H106" s="59"/>
    </row>
    <row r="107" spans="1:8" x14ac:dyDescent="0.25">
      <c r="A107" s="15">
        <f>+'TLZK Kal'!A109</f>
        <v>42258</v>
      </c>
      <c r="B107" s="15">
        <v>42275</v>
      </c>
      <c r="C107" s="15">
        <v>42285</v>
      </c>
      <c r="D107" s="13">
        <v>119119.99099999999</v>
      </c>
      <c r="E107" s="13">
        <v>40758.784947898203</v>
      </c>
      <c r="F107" s="13">
        <v>357.638947552812</v>
      </c>
      <c r="G107" s="59"/>
      <c r="H107" s="59"/>
    </row>
    <row r="108" spans="1:8" x14ac:dyDescent="0.25">
      <c r="A108" s="15">
        <f>+'TLZK Kal'!A110</f>
        <v>42270</v>
      </c>
      <c r="B108" s="15">
        <v>42286</v>
      </c>
      <c r="C108" s="15">
        <v>42299</v>
      </c>
      <c r="D108" s="13">
        <v>117089.48700000001</v>
      </c>
      <c r="E108" s="13">
        <v>39828.515385047722</v>
      </c>
      <c r="F108" s="13">
        <v>354.50560549153607</v>
      </c>
      <c r="G108" s="59"/>
      <c r="H108" s="59"/>
    </row>
    <row r="109" spans="1:8" x14ac:dyDescent="0.25">
      <c r="A109" s="15">
        <f>+'TLZK Kal'!A111</f>
        <v>42286</v>
      </c>
      <c r="B109" s="15">
        <v>42300</v>
      </c>
      <c r="C109" s="15">
        <v>42313</v>
      </c>
      <c r="D109" s="13">
        <v>117879.516</v>
      </c>
      <c r="E109" s="13">
        <v>40771.373377048098</v>
      </c>
      <c r="F109" s="13">
        <v>366.27817290927197</v>
      </c>
      <c r="G109" s="59"/>
      <c r="H109" s="59"/>
    </row>
    <row r="110" spans="1:8" x14ac:dyDescent="0.25">
      <c r="A110" s="15">
        <f>+'TLZK Kal'!A112</f>
        <v>42300</v>
      </c>
      <c r="B110" s="15">
        <v>42314</v>
      </c>
      <c r="C110" s="15">
        <v>42327</v>
      </c>
      <c r="D110" s="13">
        <v>116757.96400000001</v>
      </c>
      <c r="E110" s="13">
        <v>41195.6832186916</v>
      </c>
      <c r="F110" s="13">
        <v>368.67999050560798</v>
      </c>
      <c r="G110" s="59"/>
      <c r="H110" s="59"/>
    </row>
    <row r="111" spans="1:8" x14ac:dyDescent="0.25">
      <c r="A111" s="15">
        <f>+'TLZK Kal'!A113</f>
        <v>42314</v>
      </c>
      <c r="B111" s="15">
        <v>42328</v>
      </c>
      <c r="C111" s="15">
        <v>42341</v>
      </c>
      <c r="D111" s="13">
        <v>114665.353</v>
      </c>
      <c r="E111" s="13">
        <v>40545.295102548902</v>
      </c>
      <c r="F111" s="13">
        <v>360.07636867550701</v>
      </c>
      <c r="G111" s="59"/>
      <c r="H111" s="59"/>
    </row>
    <row r="112" spans="1:8" x14ac:dyDescent="0.25">
      <c r="A112" s="15">
        <f>+'TLZK Kal'!A114</f>
        <v>42328</v>
      </c>
      <c r="B112" s="15">
        <v>42342</v>
      </c>
      <c r="C112" s="15">
        <v>42355</v>
      </c>
      <c r="D112" s="13">
        <v>113947.447</v>
      </c>
      <c r="E112" s="13">
        <v>40582.265697167531</v>
      </c>
      <c r="F112" s="13">
        <v>365.03842160525261</v>
      </c>
      <c r="G112" s="59"/>
      <c r="H112" s="59"/>
    </row>
    <row r="113" spans="1:8" x14ac:dyDescent="0.25">
      <c r="A113" s="15">
        <f>+'TLZK Kal'!A115</f>
        <v>42342</v>
      </c>
      <c r="B113" s="15">
        <v>42356</v>
      </c>
      <c r="C113" s="15">
        <v>42372</v>
      </c>
      <c r="D113" s="13">
        <v>114150.51</v>
      </c>
      <c r="E113" s="13">
        <v>40427.385161518709</v>
      </c>
      <c r="F113" s="13">
        <v>369.04066531958841</v>
      </c>
      <c r="G113" s="59"/>
      <c r="H113" s="59"/>
    </row>
    <row r="114" spans="1:8" x14ac:dyDescent="0.25">
      <c r="A114" s="15">
        <f>+'TLZK Kal'!A116</f>
        <v>42356</v>
      </c>
      <c r="B114" s="15">
        <v>42373</v>
      </c>
      <c r="C114" s="15">
        <v>42383</v>
      </c>
      <c r="D114" s="13">
        <v>116567.084</v>
      </c>
      <c r="E114" s="13">
        <v>40098.734131418198</v>
      </c>
      <c r="F114" s="13">
        <v>367.96574915591401</v>
      </c>
      <c r="G114" s="59"/>
      <c r="H114" s="59"/>
    </row>
    <row r="115" spans="1:8" x14ac:dyDescent="0.25">
      <c r="A115" s="15">
        <f>+'TLZK Kal'!A117</f>
        <v>42369</v>
      </c>
      <c r="B115" s="15">
        <v>42384</v>
      </c>
      <c r="C115" s="15">
        <v>42397</v>
      </c>
      <c r="D115" s="13">
        <v>115086.148</v>
      </c>
      <c r="E115" s="13">
        <v>40470.117203466798</v>
      </c>
      <c r="F115" s="13">
        <v>374.80076706957499</v>
      </c>
      <c r="G115" s="59"/>
      <c r="H115" s="59"/>
    </row>
    <row r="116" spans="1:8" x14ac:dyDescent="0.25">
      <c r="A116" s="15">
        <f>+'TLZK Kal'!A118</f>
        <v>42384</v>
      </c>
      <c r="B116" s="15">
        <v>42398</v>
      </c>
      <c r="C116" s="15">
        <v>42411</v>
      </c>
      <c r="D116" s="13">
        <v>118007.352</v>
      </c>
      <c r="E116" s="13">
        <v>39430.859421960202</v>
      </c>
      <c r="F116" s="13">
        <v>352.72678231223199</v>
      </c>
      <c r="G116" s="59"/>
      <c r="H116" s="59"/>
    </row>
    <row r="117" spans="1:8" x14ac:dyDescent="0.25">
      <c r="A117" s="15">
        <f>+'TLZK Kal'!A119</f>
        <v>42398</v>
      </c>
      <c r="B117" s="15">
        <v>42412</v>
      </c>
      <c r="C117" s="15">
        <v>42425</v>
      </c>
      <c r="D117" s="13">
        <v>116542.327</v>
      </c>
      <c r="E117" s="13">
        <v>39504.425107795098</v>
      </c>
      <c r="F117" s="13">
        <v>351.73393941692501</v>
      </c>
      <c r="G117" s="59"/>
      <c r="H117" s="59"/>
    </row>
    <row r="118" spans="1:8" x14ac:dyDescent="0.25">
      <c r="A118" s="15">
        <f>+'TLZK Kal'!A122</f>
        <v>42412</v>
      </c>
      <c r="B118" s="15">
        <v>42426</v>
      </c>
      <c r="C118" s="15">
        <v>42439</v>
      </c>
      <c r="D118" s="13">
        <v>122052.314</v>
      </c>
      <c r="E118" s="13">
        <v>41945.409468330698</v>
      </c>
      <c r="F118" s="13">
        <v>396.20741737959997</v>
      </c>
      <c r="G118" s="59"/>
      <c r="H118" s="59"/>
    </row>
    <row r="119" spans="1:8" x14ac:dyDescent="0.25">
      <c r="A119" s="15">
        <f>+'TLZK Kal'!A123</f>
        <v>42426</v>
      </c>
      <c r="B119" s="15">
        <v>42440</v>
      </c>
      <c r="C119" s="15">
        <v>42453</v>
      </c>
      <c r="D119" s="13">
        <v>122339.285</v>
      </c>
      <c r="E119" s="13">
        <v>42272.138267816597</v>
      </c>
      <c r="F119" s="13">
        <v>369.807366329959</v>
      </c>
      <c r="G119" s="59"/>
      <c r="H119" s="59"/>
    </row>
    <row r="120" spans="1:8" x14ac:dyDescent="0.25">
      <c r="A120" s="15">
        <f>+'TLZK Kal'!A124</f>
        <v>42440</v>
      </c>
      <c r="B120" s="15">
        <v>42454</v>
      </c>
      <c r="C120" s="15">
        <v>42467</v>
      </c>
      <c r="D120" s="13">
        <v>120816.78</v>
      </c>
      <c r="E120" s="13">
        <v>42955.800603469201</v>
      </c>
      <c r="F120" s="13">
        <v>377.23103281940899</v>
      </c>
      <c r="G120" s="59"/>
      <c r="H120" s="59"/>
    </row>
    <row r="121" spans="1:8" x14ac:dyDescent="0.25">
      <c r="A121" s="15">
        <f>+'TLZK Kal'!A125</f>
        <v>42454</v>
      </c>
      <c r="B121" s="15">
        <v>42468</v>
      </c>
      <c r="C121" s="15">
        <v>42481</v>
      </c>
      <c r="D121" s="13">
        <v>122673.246</v>
      </c>
      <c r="E121" s="13">
        <v>43363.542230084648</v>
      </c>
      <c r="F121" s="13">
        <v>380.81612917411439</v>
      </c>
      <c r="G121" s="59"/>
      <c r="H121" s="59"/>
    </row>
    <row r="122" spans="1:8" x14ac:dyDescent="0.25">
      <c r="A122" s="15">
        <f>+'TLZK Kal'!A126</f>
        <v>42468</v>
      </c>
      <c r="B122" s="15">
        <v>42482</v>
      </c>
      <c r="C122" s="15">
        <v>42495</v>
      </c>
      <c r="D122" s="13">
        <v>122156.632</v>
      </c>
      <c r="E122" s="13">
        <v>43612.195325579101</v>
      </c>
      <c r="F122" s="13">
        <v>393.83715024139798</v>
      </c>
      <c r="G122" s="59"/>
      <c r="H122" s="59"/>
    </row>
    <row r="123" spans="1:8" x14ac:dyDescent="0.25">
      <c r="A123" s="15">
        <f>+'TLZK Kal'!A127</f>
        <v>42482</v>
      </c>
      <c r="B123" s="15">
        <v>42496</v>
      </c>
      <c r="C123" s="15">
        <v>42509</v>
      </c>
      <c r="D123" s="13">
        <v>121698.54700000001</v>
      </c>
      <c r="E123" s="13">
        <v>43962.067105788803</v>
      </c>
      <c r="F123" s="13">
        <v>391.66632708286602</v>
      </c>
      <c r="G123" s="59"/>
      <c r="H123" s="59"/>
    </row>
    <row r="124" spans="1:8" x14ac:dyDescent="0.25">
      <c r="A124" s="15">
        <f>+'TLZK Kal'!A128</f>
        <v>42496</v>
      </c>
      <c r="B124" s="15">
        <v>42510</v>
      </c>
      <c r="C124" s="15">
        <v>42523</v>
      </c>
      <c r="D124" s="13">
        <v>126043.554</v>
      </c>
      <c r="E124" s="13">
        <v>44079.846374315901</v>
      </c>
      <c r="F124" s="13">
        <v>393.42195972896502</v>
      </c>
      <c r="G124" s="59"/>
      <c r="H124" s="59"/>
    </row>
    <row r="125" spans="1:8" x14ac:dyDescent="0.25">
      <c r="A125" s="15">
        <f>+'TLZK Kal'!A129</f>
        <v>42510</v>
      </c>
      <c r="B125" s="15">
        <v>42524</v>
      </c>
      <c r="C125" s="15">
        <v>42537</v>
      </c>
      <c r="D125" s="13">
        <v>128498.412</v>
      </c>
      <c r="E125" s="13">
        <v>44249.761944863298</v>
      </c>
      <c r="F125" s="13">
        <v>388.01616288109898</v>
      </c>
      <c r="G125" s="59"/>
      <c r="H125" s="59"/>
    </row>
    <row r="126" spans="1:8" x14ac:dyDescent="0.25">
      <c r="A126" s="15">
        <f>+'TLZK Kal'!A130</f>
        <v>42524</v>
      </c>
      <c r="B126" s="15">
        <v>42538</v>
      </c>
      <c r="C126" s="15">
        <v>42551</v>
      </c>
      <c r="D126" s="13">
        <v>127116.431</v>
      </c>
      <c r="E126" s="13">
        <v>44266.688667892602</v>
      </c>
      <c r="F126" s="13">
        <v>393.68686119174498</v>
      </c>
      <c r="G126" s="59"/>
      <c r="H126" s="59"/>
    </row>
    <row r="127" spans="1:8" x14ac:dyDescent="0.25">
      <c r="A127" s="15">
        <f>+'TLZK Kal'!A131</f>
        <v>42538</v>
      </c>
      <c r="B127" s="15">
        <v>42552</v>
      </c>
      <c r="C127" s="15">
        <v>42565</v>
      </c>
      <c r="D127" s="13">
        <v>127043.387</v>
      </c>
      <c r="E127" s="13">
        <v>44125.2</v>
      </c>
      <c r="F127" s="13">
        <v>391.13</v>
      </c>
      <c r="G127" s="59"/>
      <c r="H127" s="59"/>
    </row>
    <row r="128" spans="1:8" x14ac:dyDescent="0.25">
      <c r="A128" s="15">
        <f>+'TLZK Kal'!A132</f>
        <v>42552</v>
      </c>
      <c r="B128" s="15">
        <v>42566</v>
      </c>
      <c r="C128" s="15">
        <v>42579</v>
      </c>
      <c r="D128" s="13">
        <v>124731.99800000001</v>
      </c>
      <c r="E128" s="13">
        <v>44037.859810316797</v>
      </c>
      <c r="F128" s="13">
        <v>371.24832819509299</v>
      </c>
      <c r="G128" s="59"/>
      <c r="H128" s="59"/>
    </row>
    <row r="129" spans="1:8" x14ac:dyDescent="0.25">
      <c r="A129" s="15">
        <f>+'TLZK Kal'!A133</f>
        <v>42566</v>
      </c>
      <c r="B129" s="15">
        <v>42580</v>
      </c>
      <c r="C129" s="15">
        <v>42593</v>
      </c>
      <c r="D129" s="13">
        <v>124894.693</v>
      </c>
      <c r="E129" s="13">
        <v>43573.542355594996</v>
      </c>
      <c r="F129" s="13">
        <v>395.27428126496699</v>
      </c>
      <c r="G129" s="59"/>
      <c r="H129" s="59"/>
    </row>
    <row r="130" spans="1:8" x14ac:dyDescent="0.25">
      <c r="A130" s="15">
        <f>+'TLZK Kal'!A134</f>
        <v>42580</v>
      </c>
      <c r="B130" s="15">
        <v>42594</v>
      </c>
      <c r="C130" s="15">
        <v>42607</v>
      </c>
      <c r="D130" s="13">
        <v>125789.129</v>
      </c>
      <c r="E130" s="13">
        <v>42252.628102423201</v>
      </c>
      <c r="F130" s="13">
        <v>381.37946178364899</v>
      </c>
      <c r="G130" s="59"/>
      <c r="H130" s="59"/>
    </row>
    <row r="131" spans="1:8" x14ac:dyDescent="0.25">
      <c r="A131" s="15">
        <f>+'TLZK Kal'!A135</f>
        <v>42594</v>
      </c>
      <c r="B131" s="15">
        <v>42608</v>
      </c>
      <c r="C131" s="15">
        <v>42621</v>
      </c>
      <c r="D131" s="13">
        <v>123900.47100000001</v>
      </c>
      <c r="E131" s="13">
        <v>42232.095493312503</v>
      </c>
      <c r="F131" s="13">
        <v>410.77863793379402</v>
      </c>
      <c r="G131" s="59"/>
      <c r="H131" s="59"/>
    </row>
    <row r="132" spans="1:8" x14ac:dyDescent="0.25">
      <c r="A132" s="15">
        <f>+'TLZK Kal'!A136</f>
        <v>42608</v>
      </c>
      <c r="B132" s="15">
        <v>42622</v>
      </c>
      <c r="C132" s="15">
        <v>42635</v>
      </c>
      <c r="D132" s="13">
        <v>123714.628</v>
      </c>
      <c r="E132" s="13">
        <v>42538.935324649901</v>
      </c>
      <c r="F132" s="13">
        <v>404.15400386699901</v>
      </c>
      <c r="G132" s="59"/>
      <c r="H132" s="59"/>
    </row>
    <row r="133" spans="1:8" x14ac:dyDescent="0.25">
      <c r="A133" s="15">
        <f>+'TLZK Kal'!A137</f>
        <v>42622</v>
      </c>
      <c r="B133" s="15">
        <v>42636</v>
      </c>
      <c r="C133" s="15">
        <v>42649</v>
      </c>
      <c r="D133" s="13">
        <v>122956.11900000001</v>
      </c>
      <c r="E133" s="13">
        <v>43876.166358259201</v>
      </c>
      <c r="F133" s="13">
        <v>439.27673975728499</v>
      </c>
      <c r="G133" s="59"/>
      <c r="H133" s="59"/>
    </row>
    <row r="134" spans="1:8" x14ac:dyDescent="0.25">
      <c r="A134" s="15">
        <f>+'TLZK Kal'!A138</f>
        <v>42636</v>
      </c>
      <c r="B134" s="15">
        <v>42650</v>
      </c>
      <c r="C134" s="15">
        <v>42663</v>
      </c>
      <c r="D134" s="13">
        <v>122705.89599999999</v>
      </c>
      <c r="E134" s="13">
        <v>42251.331772297999</v>
      </c>
      <c r="F134" s="13">
        <v>421.19765374098199</v>
      </c>
      <c r="G134" s="59"/>
      <c r="H134" s="59"/>
    </row>
    <row r="135" spans="1:8" x14ac:dyDescent="0.25">
      <c r="A135" s="15">
        <f>+'TLZK Kal'!A139</f>
        <v>42650</v>
      </c>
      <c r="B135" s="15">
        <v>42664</v>
      </c>
      <c r="C135" s="15">
        <v>42677</v>
      </c>
      <c r="D135" s="13">
        <v>124262.60799999999</v>
      </c>
      <c r="E135" s="13">
        <v>41290.775157190998</v>
      </c>
      <c r="F135" s="13">
        <v>443.77486211488201</v>
      </c>
      <c r="G135" s="59"/>
      <c r="H135" s="59"/>
    </row>
    <row r="136" spans="1:8" x14ac:dyDescent="0.25">
      <c r="A136" s="15">
        <f>+'TLZK Kal'!A140</f>
        <v>42664</v>
      </c>
      <c r="B136" s="15">
        <v>42678</v>
      </c>
      <c r="C136" s="15">
        <v>42691</v>
      </c>
      <c r="D136" s="13">
        <v>124299.522</v>
      </c>
      <c r="E136" s="13">
        <v>41034.335560009</v>
      </c>
      <c r="F136" s="13">
        <v>470.86260007800502</v>
      </c>
      <c r="G136" s="59"/>
      <c r="H136" s="59"/>
    </row>
    <row r="137" spans="1:8" x14ac:dyDescent="0.25">
      <c r="A137" s="15">
        <f>+'TLZK Kal'!A141</f>
        <v>42678</v>
      </c>
      <c r="B137" s="15">
        <v>42692</v>
      </c>
      <c r="C137" s="15">
        <v>42705</v>
      </c>
      <c r="D137" s="13">
        <v>127674.129</v>
      </c>
      <c r="E137" s="13">
        <v>41432.611341245502</v>
      </c>
      <c r="F137" s="13">
        <v>470.86260007800502</v>
      </c>
      <c r="G137" s="59"/>
      <c r="H137" s="59"/>
    </row>
    <row r="138" spans="1:8" x14ac:dyDescent="0.25">
      <c r="A138" s="15">
        <f>+'TLZK Kal'!A142</f>
        <v>42692</v>
      </c>
      <c r="B138" s="15">
        <v>42706</v>
      </c>
      <c r="C138" s="15">
        <v>42719</v>
      </c>
      <c r="D138" s="13">
        <v>129284.217</v>
      </c>
      <c r="E138" s="13">
        <v>42079.664403130002</v>
      </c>
      <c r="F138" s="13">
        <v>416.49847880244801</v>
      </c>
      <c r="G138" s="59"/>
      <c r="H138" s="59"/>
    </row>
    <row r="139" spans="1:8" x14ac:dyDescent="0.25">
      <c r="A139" s="15">
        <f>+'TLZK Kal'!A143</f>
        <v>42706</v>
      </c>
      <c r="B139" s="15">
        <v>42720</v>
      </c>
      <c r="C139" s="15">
        <v>42733</v>
      </c>
      <c r="D139" s="13">
        <v>133945.27900000001</v>
      </c>
      <c r="E139" s="13">
        <v>39645.906851571999</v>
      </c>
      <c r="F139" s="13">
        <v>415.50613711124498</v>
      </c>
      <c r="G139" s="59"/>
      <c r="H139" s="59"/>
    </row>
    <row r="140" spans="1:8" x14ac:dyDescent="0.25">
      <c r="A140" s="15">
        <f>+'TLZK Kal'!A144</f>
        <v>42720</v>
      </c>
      <c r="B140" s="15">
        <v>42734</v>
      </c>
      <c r="C140" s="15">
        <v>42747</v>
      </c>
      <c r="D140" s="13">
        <v>135278.66699999999</v>
      </c>
      <c r="E140" s="13">
        <v>39051.322459680901</v>
      </c>
      <c r="F140" s="13">
        <v>498.073667743236</v>
      </c>
      <c r="G140" s="59"/>
      <c r="H140" s="59"/>
    </row>
    <row r="141" spans="1:8" x14ac:dyDescent="0.25">
      <c r="A141" s="15">
        <f>+'TLZK Kal'!A145</f>
        <v>42734</v>
      </c>
      <c r="B141" s="15">
        <v>42748</v>
      </c>
      <c r="C141" s="15">
        <v>42761</v>
      </c>
      <c r="D141" s="13">
        <v>129268.12300000001</v>
      </c>
      <c r="E141" s="13">
        <v>37083.369203097602</v>
      </c>
      <c r="F141" s="13">
        <v>497.02921651492898</v>
      </c>
      <c r="G141" s="59"/>
      <c r="H141" s="59"/>
    </row>
    <row r="142" spans="1:8" x14ac:dyDescent="0.25">
      <c r="A142" s="15">
        <f>+'TLZK Kal'!A146</f>
        <v>42748</v>
      </c>
      <c r="B142" s="15">
        <v>42762</v>
      </c>
      <c r="C142" s="15">
        <v>42775</v>
      </c>
      <c r="D142" s="13">
        <v>141512.71599999999</v>
      </c>
      <c r="E142" s="13">
        <v>37745.067504609498</v>
      </c>
      <c r="F142" s="13">
        <v>467.09374699874297</v>
      </c>
      <c r="G142" s="59"/>
      <c r="H142" s="59"/>
    </row>
    <row r="143" spans="1:8" x14ac:dyDescent="0.25">
      <c r="A143" s="15">
        <f>+'TLZK Kal'!A147</f>
        <v>42762</v>
      </c>
      <c r="B143" s="15">
        <v>42776</v>
      </c>
      <c r="C143" s="15">
        <v>42789</v>
      </c>
      <c r="D143" s="13">
        <v>142400.486</v>
      </c>
      <c r="E143" s="13">
        <v>38095.1635143483</v>
      </c>
      <c r="F143" s="13">
        <v>467.69535643510801</v>
      </c>
      <c r="G143" s="59"/>
      <c r="H143" s="59"/>
    </row>
    <row r="144" spans="1:8" x14ac:dyDescent="0.25">
      <c r="A144" s="15">
        <f>+'TLZK Kal'!A148</f>
        <v>42776</v>
      </c>
      <c r="B144" s="15">
        <v>42790</v>
      </c>
      <c r="C144" s="15">
        <v>42803</v>
      </c>
      <c r="D144" s="13">
        <v>139407.82800000001</v>
      </c>
      <c r="E144" s="13">
        <v>38466.5359373807</v>
      </c>
      <c r="F144" s="13">
        <v>502.59689887203098</v>
      </c>
      <c r="G144" s="59"/>
      <c r="H144" s="59"/>
    </row>
    <row r="145" spans="1:8" x14ac:dyDescent="0.25">
      <c r="A145" s="15">
        <f>+'TLZK Kal'!A149</f>
        <v>42790</v>
      </c>
      <c r="B145" s="15">
        <v>42804</v>
      </c>
      <c r="C145" s="15">
        <v>42817</v>
      </c>
      <c r="D145" s="13">
        <v>135114.71599999999</v>
      </c>
      <c r="E145" s="13">
        <v>38465.143328351201</v>
      </c>
      <c r="F145" s="13">
        <v>510.83095249544101</v>
      </c>
      <c r="G145" s="59"/>
      <c r="H145" s="59"/>
    </row>
    <row r="146" spans="1:8" x14ac:dyDescent="0.25">
      <c r="A146" s="15">
        <f>+'TLZK Kal'!A150</f>
        <v>42804</v>
      </c>
      <c r="B146" s="15">
        <v>42818</v>
      </c>
      <c r="C146" s="15">
        <v>42831</v>
      </c>
      <c r="D146" s="13">
        <v>142030.79</v>
      </c>
      <c r="E146" s="13">
        <v>38473.031672561599</v>
      </c>
      <c r="F146" s="13">
        <v>493.168852321862</v>
      </c>
      <c r="G146" s="59"/>
      <c r="H146" s="59"/>
    </row>
    <row r="147" spans="1:8" x14ac:dyDescent="0.25">
      <c r="A147" s="15">
        <f>+'TLZK Kal'!A151</f>
        <v>42818</v>
      </c>
      <c r="B147" s="15">
        <v>42832</v>
      </c>
      <c r="C147" s="15">
        <v>42845</v>
      </c>
      <c r="D147" s="13">
        <v>139633.90599999999</v>
      </c>
      <c r="E147" s="13">
        <v>38601.202100000002</v>
      </c>
      <c r="F147" s="13">
        <v>527.54150900930961</v>
      </c>
      <c r="G147" s="59"/>
      <c r="H147" s="59"/>
    </row>
    <row r="148" spans="1:8" x14ac:dyDescent="0.25">
      <c r="A148" s="15">
        <f>+'TLZK Kal'!A152</f>
        <v>42832</v>
      </c>
      <c r="B148" s="15">
        <v>42846</v>
      </c>
      <c r="C148" s="15">
        <v>42859</v>
      </c>
      <c r="D148" s="13">
        <v>142060.18700000001</v>
      </c>
      <c r="E148" s="13">
        <v>39073.253512213501</v>
      </c>
      <c r="F148" s="13">
        <v>490.24035723668698</v>
      </c>
      <c r="G148" s="59"/>
      <c r="H148" s="59"/>
    </row>
    <row r="149" spans="1:8" x14ac:dyDescent="0.25">
      <c r="A149" s="15">
        <f>+'TLZK Kal'!A153</f>
        <v>42846</v>
      </c>
      <c r="B149" s="15">
        <v>42860</v>
      </c>
      <c r="C149" s="15">
        <v>42876</v>
      </c>
      <c r="D149" s="13">
        <v>141706.72099999999</v>
      </c>
      <c r="E149" s="13">
        <v>39224.441516558101</v>
      </c>
      <c r="F149" s="13">
        <v>491.93513966374599</v>
      </c>
      <c r="G149" s="59"/>
      <c r="H149" s="59"/>
    </row>
    <row r="150" spans="1:8" x14ac:dyDescent="0.25">
      <c r="A150" s="15">
        <f>+'TLZK Kal'!A154</f>
        <v>42860</v>
      </c>
      <c r="B150" s="15">
        <v>42877</v>
      </c>
      <c r="C150" s="15">
        <v>42887</v>
      </c>
      <c r="D150" s="13">
        <v>140709.02100000001</v>
      </c>
      <c r="E150" s="13">
        <v>39629.228785532097</v>
      </c>
      <c r="F150" s="13">
        <v>546.30388410677904</v>
      </c>
      <c r="G150" s="59"/>
      <c r="H150" s="59"/>
    </row>
    <row r="151" spans="1:8" x14ac:dyDescent="0.25">
      <c r="A151" s="15">
        <f>+'TLZK Kal'!A155</f>
        <v>42873</v>
      </c>
      <c r="B151" s="15">
        <v>42888</v>
      </c>
      <c r="C151" s="15">
        <v>42901</v>
      </c>
      <c r="D151" s="13">
        <v>140447.10800000001</v>
      </c>
      <c r="E151" s="13">
        <v>39964.0007579101</v>
      </c>
      <c r="F151" s="13">
        <v>585.06741332762999</v>
      </c>
      <c r="G151" s="59"/>
      <c r="H151" s="59"/>
    </row>
    <row r="152" spans="1:8" x14ac:dyDescent="0.25">
      <c r="A152" s="15">
        <f>+'TLZK Kal'!A156</f>
        <v>42888</v>
      </c>
      <c r="B152" s="15">
        <v>42902</v>
      </c>
      <c r="C152" s="15">
        <v>42915</v>
      </c>
      <c r="D152" s="13">
        <v>141488.807</v>
      </c>
      <c r="E152" s="13">
        <v>40240.543803097004</v>
      </c>
      <c r="F152" s="13">
        <v>581.22754853886897</v>
      </c>
      <c r="G152" s="59"/>
      <c r="H152" s="59"/>
    </row>
    <row r="153" spans="1:8" x14ac:dyDescent="0.25">
      <c r="A153" s="15">
        <f>+'TLZK Kal'!A157</f>
        <v>42902</v>
      </c>
      <c r="B153" s="15">
        <v>42916</v>
      </c>
      <c r="C153" s="15">
        <v>42929</v>
      </c>
      <c r="D153" s="13">
        <v>141785.71</v>
      </c>
      <c r="E153" s="13">
        <v>40148.808392567</v>
      </c>
      <c r="F153" s="13">
        <v>597.90702747144405</v>
      </c>
      <c r="G153" s="59"/>
      <c r="H153" s="59"/>
    </row>
    <row r="154" spans="1:8" x14ac:dyDescent="0.25">
      <c r="A154" s="15">
        <f>+'TLZK Kal'!A158</f>
        <v>42916</v>
      </c>
      <c r="B154" s="15">
        <v>42930</v>
      </c>
      <c r="C154" s="15">
        <v>42943</v>
      </c>
      <c r="D154" s="13">
        <v>141309.15899999999</v>
      </c>
      <c r="E154" s="13">
        <v>40043.796091614357</v>
      </c>
      <c r="F154" s="13">
        <v>623.80246219802746</v>
      </c>
      <c r="G154" s="59"/>
      <c r="H154" s="59"/>
    </row>
    <row r="155" spans="1:8" x14ac:dyDescent="0.25">
      <c r="A155" s="15">
        <f>+'TLZK Kal'!A159</f>
        <v>42930</v>
      </c>
      <c r="B155" s="15">
        <v>42944</v>
      </c>
      <c r="C155" s="15">
        <v>42957</v>
      </c>
      <c r="D155" s="13">
        <v>142252.9</v>
      </c>
      <c r="E155" s="13">
        <v>39671.0714605213</v>
      </c>
      <c r="F155" s="13">
        <v>631.59769510813999</v>
      </c>
      <c r="G155" s="59"/>
      <c r="H155" s="59"/>
    </row>
    <row r="156" spans="1:8" x14ac:dyDescent="0.25">
      <c r="A156" s="15">
        <f>+'TLZK Kal'!A160</f>
        <v>42944</v>
      </c>
      <c r="B156" s="15">
        <v>42958</v>
      </c>
      <c r="C156" s="15">
        <v>42971</v>
      </c>
      <c r="D156" s="13">
        <v>141686.64199999999</v>
      </c>
      <c r="E156" s="13">
        <v>40074.357929714439</v>
      </c>
      <c r="F156" s="13">
        <v>615.77784055264169</v>
      </c>
      <c r="G156" s="59"/>
      <c r="H156" s="59"/>
    </row>
    <row r="157" spans="1:8" x14ac:dyDescent="0.25">
      <c r="A157" s="15">
        <f>+'TLZK Kal'!A161</f>
        <v>42958</v>
      </c>
      <c r="B157" s="15">
        <v>42972</v>
      </c>
      <c r="C157" s="15">
        <v>42985</v>
      </c>
      <c r="D157" s="13">
        <v>142856.19399999999</v>
      </c>
      <c r="E157" s="13">
        <v>40383.680449163803</v>
      </c>
      <c r="F157" s="13">
        <v>599.41639763809803</v>
      </c>
      <c r="G157" s="59"/>
      <c r="H157" s="59"/>
    </row>
    <row r="158" spans="1:8" x14ac:dyDescent="0.25">
      <c r="A158" s="15">
        <f>+'TLZK Kal'!A162</f>
        <v>42972</v>
      </c>
      <c r="B158" s="15">
        <v>42986</v>
      </c>
      <c r="C158" s="15">
        <v>42999</v>
      </c>
      <c r="D158" s="13">
        <v>143146.05900000001</v>
      </c>
      <c r="E158" s="13">
        <v>41061.432704490602</v>
      </c>
      <c r="F158" s="13">
        <v>584.73963233661004</v>
      </c>
      <c r="G158" s="59"/>
      <c r="H158" s="59"/>
    </row>
    <row r="159" spans="1:8" x14ac:dyDescent="0.25">
      <c r="A159" s="15">
        <f>+'TLZK Kal'!A163</f>
        <v>42986</v>
      </c>
      <c r="B159" s="15">
        <v>43000</v>
      </c>
      <c r="C159" s="15">
        <v>43013</v>
      </c>
      <c r="D159" s="13">
        <v>142845.49000000002</v>
      </c>
      <c r="E159" s="13">
        <v>41763.70483350131</v>
      </c>
      <c r="F159" s="13">
        <v>582.31189921063401</v>
      </c>
      <c r="G159" s="59"/>
      <c r="H159" s="59"/>
    </row>
    <row r="160" spans="1:8" x14ac:dyDescent="0.25">
      <c r="A160" s="15">
        <f>+'TLZK Kal'!A164</f>
        <v>43000</v>
      </c>
      <c r="B160" s="15">
        <v>43014</v>
      </c>
      <c r="C160" s="15">
        <v>43027</v>
      </c>
      <c r="D160" s="13">
        <v>145731.81400000001</v>
      </c>
      <c r="E160" s="13">
        <v>41533.922232584198</v>
      </c>
      <c r="F160" s="13">
        <v>566.94964911447801</v>
      </c>
      <c r="G160" s="59"/>
      <c r="H160" s="59"/>
    </row>
    <row r="161" spans="1:8" x14ac:dyDescent="0.25">
      <c r="A161" s="15">
        <f>+'TLZK Kal'!A165</f>
        <v>43014</v>
      </c>
      <c r="B161" s="15">
        <v>43028</v>
      </c>
      <c r="C161" s="15">
        <v>43041</v>
      </c>
      <c r="D161" s="13">
        <v>147343.07399999999</v>
      </c>
      <c r="E161" s="13">
        <v>41268.368929594399</v>
      </c>
      <c r="F161" s="13">
        <v>564.53581924850198</v>
      </c>
      <c r="G161" s="59"/>
      <c r="H161" s="59"/>
    </row>
    <row r="162" spans="1:8" x14ac:dyDescent="0.25">
      <c r="A162" s="15">
        <f>+'TLZK Kal'!A166</f>
        <v>43028</v>
      </c>
      <c r="B162" s="15">
        <v>43042</v>
      </c>
      <c r="C162" s="15">
        <v>43055</v>
      </c>
      <c r="D162" s="13">
        <v>150287.696</v>
      </c>
      <c r="E162" s="13">
        <v>41075.183122864401</v>
      </c>
      <c r="F162" s="13">
        <v>522.14817640488195</v>
      </c>
      <c r="G162" s="59"/>
      <c r="H162" s="59"/>
    </row>
    <row r="163" spans="1:8" x14ac:dyDescent="0.25">
      <c r="A163" s="15">
        <f>+'TLZK Kal'!A167</f>
        <v>43042</v>
      </c>
      <c r="B163" s="15">
        <v>43056</v>
      </c>
      <c r="C163" s="15">
        <v>43069</v>
      </c>
      <c r="D163" s="13">
        <v>153985.09400000001</v>
      </c>
      <c r="E163" s="13">
        <v>40637.5131342885</v>
      </c>
      <c r="F163" s="13">
        <v>510.35905312687601</v>
      </c>
      <c r="G163" s="59"/>
      <c r="H163" s="59"/>
    </row>
    <row r="164" spans="1:8" x14ac:dyDescent="0.25">
      <c r="A164" s="15">
        <f>+'TLZK Kal'!A168</f>
        <v>43056</v>
      </c>
      <c r="B164" s="15">
        <v>43070</v>
      </c>
      <c r="C164" s="15">
        <v>43083</v>
      </c>
      <c r="D164" s="13">
        <v>157314.201</v>
      </c>
      <c r="E164" s="13">
        <v>40666.477354978801</v>
      </c>
      <c r="F164" s="13">
        <v>528.49644603935133</v>
      </c>
      <c r="G164" s="59"/>
      <c r="H164" s="59"/>
    </row>
    <row r="165" spans="1:8" x14ac:dyDescent="0.25">
      <c r="A165" s="15">
        <f>+'TLZK Kal'!A169</f>
        <v>43070</v>
      </c>
      <c r="B165" s="15">
        <v>43084</v>
      </c>
      <c r="C165" s="15">
        <v>43097</v>
      </c>
      <c r="D165" s="13">
        <v>160178.356</v>
      </c>
      <c r="E165" s="13">
        <v>40650.425129117466</v>
      </c>
      <c r="F165" s="13">
        <v>548.99618306211573</v>
      </c>
      <c r="G165" s="59"/>
      <c r="H165" s="59"/>
    </row>
    <row r="166" spans="1:8" x14ac:dyDescent="0.25">
      <c r="A166" s="15">
        <f>+'TLZK Kal'!A170</f>
        <v>43084</v>
      </c>
      <c r="B166" s="15">
        <v>43098</v>
      </c>
      <c r="C166" s="15">
        <v>43111</v>
      </c>
      <c r="D166" s="13">
        <v>156120.609</v>
      </c>
      <c r="E166" s="13">
        <v>40424.862530602724</v>
      </c>
      <c r="F166" s="13">
        <v>587.93269295526397</v>
      </c>
      <c r="G166" s="59"/>
      <c r="H166" s="59"/>
    </row>
    <row r="167" spans="1:8" x14ac:dyDescent="0.25">
      <c r="A167" s="15">
        <f>+'TLZK Kal'!A171</f>
        <v>43098</v>
      </c>
      <c r="B167" s="15">
        <v>43112</v>
      </c>
      <c r="C167" s="15">
        <v>43125</v>
      </c>
      <c r="D167" s="13">
        <v>155704.15600000002</v>
      </c>
      <c r="E167" s="13">
        <v>40823.723955573856</v>
      </c>
      <c r="F167" s="13">
        <v>596.96958653633328</v>
      </c>
      <c r="G167" s="59"/>
      <c r="H167" s="59"/>
    </row>
    <row r="168" spans="1:8" x14ac:dyDescent="0.25">
      <c r="A168" s="15">
        <f>+'TLZK Kal'!A172</f>
        <v>43112</v>
      </c>
      <c r="B168" s="15">
        <v>43126</v>
      </c>
      <c r="C168" s="15">
        <v>43139</v>
      </c>
      <c r="D168" s="13">
        <v>156516.804</v>
      </c>
      <c r="E168" s="13">
        <v>41191.500735705726</v>
      </c>
      <c r="F168" s="13">
        <v>598.30417522723599</v>
      </c>
      <c r="G168" s="59"/>
      <c r="H168" s="59"/>
    </row>
    <row r="169" spans="1:8" x14ac:dyDescent="0.25">
      <c r="A169" s="15">
        <f>+'TLZK Kal'!A173</f>
        <v>43126</v>
      </c>
      <c r="B169" s="15">
        <v>43140</v>
      </c>
      <c r="C169" s="15">
        <v>43153</v>
      </c>
      <c r="D169" s="13">
        <v>158110.01999999999</v>
      </c>
      <c r="E169" s="13">
        <v>42202.245316571461</v>
      </c>
      <c r="F169" s="13">
        <v>554.28546672296284</v>
      </c>
      <c r="G169" s="59"/>
      <c r="H169" s="59"/>
    </row>
    <row r="170" spans="1:8" x14ac:dyDescent="0.25">
      <c r="A170" s="15">
        <f>+'TLZK Kal'!A174</f>
        <v>43140</v>
      </c>
      <c r="B170" s="15">
        <v>43154</v>
      </c>
      <c r="C170" s="15">
        <v>43167</v>
      </c>
      <c r="D170" s="13">
        <v>159465.06</v>
      </c>
      <c r="E170" s="13">
        <v>41845.333774689701</v>
      </c>
      <c r="F170" s="13">
        <v>561.51838935188903</v>
      </c>
      <c r="G170" s="59"/>
      <c r="H170" s="59"/>
    </row>
    <row r="171" spans="1:8" x14ac:dyDescent="0.25">
      <c r="A171" s="15">
        <f>+'TLZK Kal'!A175</f>
        <v>43154</v>
      </c>
      <c r="B171" s="15">
        <v>43168</v>
      </c>
      <c r="C171" s="15">
        <v>43181</v>
      </c>
      <c r="D171" s="13">
        <v>160211.49299999999</v>
      </c>
      <c r="E171" s="13">
        <v>42163.661467012993</v>
      </c>
      <c r="F171" s="13">
        <v>560.30100850524354</v>
      </c>
      <c r="G171" s="59"/>
      <c r="H171" s="59"/>
    </row>
    <row r="172" spans="1:8" x14ac:dyDescent="0.25">
      <c r="A172" s="15">
        <f>+'TLZK Kal'!A176</f>
        <v>43168</v>
      </c>
      <c r="B172" s="15">
        <v>43182</v>
      </c>
      <c r="C172" s="15">
        <v>43195</v>
      </c>
      <c r="D172" s="13">
        <v>161391.94</v>
      </c>
      <c r="E172" s="13">
        <v>42518.038402776103</v>
      </c>
      <c r="F172" s="13">
        <v>557.79529263472807</v>
      </c>
      <c r="G172" s="59"/>
      <c r="H172" s="59"/>
    </row>
    <row r="173" spans="1:8" x14ac:dyDescent="0.25">
      <c r="A173" s="15">
        <f>+'TLZK Kal'!A177</f>
        <v>43182</v>
      </c>
      <c r="B173" s="15">
        <v>43196</v>
      </c>
      <c r="C173" s="15">
        <v>43209</v>
      </c>
      <c r="D173" s="13">
        <v>164163.93</v>
      </c>
      <c r="E173" s="13">
        <v>42020.83072592524</v>
      </c>
      <c r="F173" s="13">
        <v>551.81196314171382</v>
      </c>
      <c r="G173" s="59"/>
      <c r="H173" s="59"/>
    </row>
    <row r="174" spans="1:8" x14ac:dyDescent="0.25">
      <c r="A174" s="15">
        <f>+'TLZK Kal'!A178</f>
        <v>43196</v>
      </c>
      <c r="B174" s="15">
        <v>43210</v>
      </c>
      <c r="C174" s="15">
        <v>43223</v>
      </c>
      <c r="D174" s="13">
        <v>166846.003</v>
      </c>
      <c r="E174" s="13">
        <v>41811.555922474778</v>
      </c>
      <c r="F174" s="13">
        <v>549.19634876711484</v>
      </c>
      <c r="G174" s="59"/>
      <c r="H174" s="59"/>
    </row>
    <row r="175" spans="1:8" x14ac:dyDescent="0.25">
      <c r="A175" s="15">
        <f>+'TLZK Kal'!A179</f>
        <v>43210</v>
      </c>
      <c r="B175" s="15">
        <v>43224</v>
      </c>
      <c r="C175" s="15">
        <v>43237</v>
      </c>
      <c r="D175" s="13">
        <v>169489.54399999999</v>
      </c>
      <c r="E175" s="13">
        <v>42268.591624500397</v>
      </c>
      <c r="F175" s="13">
        <v>559.03351026298299</v>
      </c>
      <c r="G175" s="59"/>
      <c r="H175" s="59"/>
    </row>
    <row r="176" spans="1:8" x14ac:dyDescent="0.25">
      <c r="A176" s="15">
        <f>+'TLZK Kal'!A180</f>
        <v>43224</v>
      </c>
      <c r="B176" s="15">
        <v>43238</v>
      </c>
      <c r="C176" s="15">
        <v>43251</v>
      </c>
      <c r="D176" s="13">
        <v>174382.33299999998</v>
      </c>
      <c r="E176" s="13">
        <v>41733.11428601513</v>
      </c>
      <c r="F176" s="13">
        <v>584.12652873659238</v>
      </c>
      <c r="G176" s="59"/>
      <c r="H176" s="59"/>
    </row>
    <row r="177" spans="1:8" x14ac:dyDescent="0.25">
      <c r="A177" s="15">
        <f>+'TLZK Kal'!A181</f>
        <v>43238</v>
      </c>
      <c r="B177" s="15">
        <v>43252</v>
      </c>
      <c r="C177" s="15">
        <v>43268</v>
      </c>
      <c r="D177" s="13">
        <v>184047.921</v>
      </c>
      <c r="E177" s="13">
        <v>41726.328184082464</v>
      </c>
      <c r="F177" s="13">
        <v>548.01790472259347</v>
      </c>
      <c r="G177" s="59"/>
      <c r="H177" s="59"/>
    </row>
    <row r="178" spans="1:8" x14ac:dyDescent="0.25">
      <c r="A178" s="15">
        <f>+'TLZK Kal'!A182</f>
        <v>43252</v>
      </c>
      <c r="B178" s="15">
        <v>43269</v>
      </c>
      <c r="C178" s="15">
        <v>43279</v>
      </c>
      <c r="D178" s="13">
        <v>185907.15599999999</v>
      </c>
      <c r="E178" s="13">
        <v>41690.359420875815</v>
      </c>
      <c r="F178" s="13">
        <v>627.01061005128975</v>
      </c>
      <c r="G178" s="59"/>
      <c r="H178" s="59"/>
    </row>
    <row r="179" spans="1:8" x14ac:dyDescent="0.25">
      <c r="A179" s="15">
        <f>+'TLZK Kal'!A183</f>
        <v>43265</v>
      </c>
      <c r="B179" s="15">
        <v>43280</v>
      </c>
      <c r="C179" s="15">
        <v>43293</v>
      </c>
      <c r="D179" s="13">
        <v>192890.30900000001</v>
      </c>
      <c r="E179" s="13">
        <v>41901.794612093858</v>
      </c>
      <c r="F179" s="13">
        <v>598.56377015490091</v>
      </c>
      <c r="G179" s="59"/>
      <c r="H179" s="59"/>
    </row>
    <row r="180" spans="1:8" x14ac:dyDescent="0.25">
      <c r="A180" s="15">
        <f>+'TLZK Kal'!A184</f>
        <v>43280</v>
      </c>
      <c r="B180" s="15">
        <v>43294</v>
      </c>
      <c r="C180" s="15">
        <v>43307</v>
      </c>
      <c r="D180" s="13">
        <v>186056.258</v>
      </c>
      <c r="E180" s="13">
        <v>40344.272252516232</v>
      </c>
      <c r="F180" s="13">
        <v>612.28691289743199</v>
      </c>
      <c r="G180" s="59"/>
      <c r="H180" s="59"/>
    </row>
    <row r="181" spans="1:8" x14ac:dyDescent="0.25">
      <c r="A181" s="15">
        <f>+'TLZK Kal'!A185</f>
        <v>43294</v>
      </c>
      <c r="B181" s="15">
        <v>43308</v>
      </c>
      <c r="C181" s="15">
        <v>43321</v>
      </c>
      <c r="D181" s="13">
        <v>194046.24100000001</v>
      </c>
      <c r="E181" s="13">
        <v>40278.611964463635</v>
      </c>
      <c r="F181" s="13">
        <v>586.58560994409038</v>
      </c>
      <c r="G181" s="59"/>
      <c r="H181" s="59"/>
    </row>
    <row r="182" spans="1:8" x14ac:dyDescent="0.25">
      <c r="A182" s="15">
        <f>+'TLZK Kal'!A186</f>
        <v>43308</v>
      </c>
      <c r="B182" s="15">
        <v>43322</v>
      </c>
      <c r="C182" s="15">
        <v>43338</v>
      </c>
      <c r="D182" s="13">
        <v>181432.399</v>
      </c>
      <c r="E182" s="13">
        <v>42020</v>
      </c>
      <c r="F182" s="13">
        <v>532.83600000000001</v>
      </c>
      <c r="G182" s="59"/>
      <c r="H182" s="59"/>
    </row>
    <row r="183" spans="1:8" x14ac:dyDescent="0.25">
      <c r="A183" s="15">
        <f>+'TLZK Kal'!A187</f>
        <v>43322</v>
      </c>
      <c r="B183" s="15">
        <v>43339</v>
      </c>
      <c r="C183" s="15">
        <v>43349</v>
      </c>
      <c r="D183" s="13">
        <v>201952.77300000002</v>
      </c>
      <c r="E183" s="13">
        <v>36821.002112262897</v>
      </c>
      <c r="F183" s="13">
        <v>632.29867061933419</v>
      </c>
      <c r="G183" s="59"/>
      <c r="H183" s="59"/>
    </row>
    <row r="184" spans="1:8" x14ac:dyDescent="0.25">
      <c r="A184" s="15">
        <f>+'TLZK Kal'!A188</f>
        <v>43332</v>
      </c>
      <c r="B184" s="15">
        <v>43350</v>
      </c>
      <c r="C184" s="15">
        <v>43363</v>
      </c>
      <c r="D184" s="13">
        <v>215968.84</v>
      </c>
      <c r="E184" s="13">
        <v>36090.482462005275</v>
      </c>
      <c r="F184" s="13">
        <v>493.16108240996726</v>
      </c>
      <c r="G184" s="59"/>
      <c r="H184" s="59"/>
    </row>
    <row r="185" spans="1:8" x14ac:dyDescent="0.25">
      <c r="A185" s="15">
        <f>+'TLZK Kal'!A189</f>
        <v>43350</v>
      </c>
      <c r="B185" s="15">
        <v>43364</v>
      </c>
      <c r="C185" s="15">
        <v>43377</v>
      </c>
      <c r="D185" s="13">
        <v>230591.02100000001</v>
      </c>
      <c r="E185" s="13">
        <v>35252.091760286901</v>
      </c>
      <c r="F185" s="13">
        <v>553.29304446163701</v>
      </c>
      <c r="G185" s="59"/>
      <c r="H185" s="59"/>
    </row>
    <row r="186" spans="1:8" x14ac:dyDescent="0.25">
      <c r="A186" s="15">
        <v>43364</v>
      </c>
      <c r="B186" s="15">
        <v>43378</v>
      </c>
      <c r="C186" s="15">
        <v>43391</v>
      </c>
      <c r="D186" s="13">
        <v>218636.33</v>
      </c>
      <c r="E186" s="13">
        <v>36275.79581555535</v>
      </c>
      <c r="F186" s="13">
        <v>586.80976665648996</v>
      </c>
      <c r="G186" s="59"/>
      <c r="H186" s="59"/>
    </row>
    <row r="187" spans="1:8" x14ac:dyDescent="0.25">
      <c r="A187" s="15">
        <f>+'TLZK Kal'!A191</f>
        <v>43378</v>
      </c>
      <c r="B187" s="15">
        <v>43392</v>
      </c>
      <c r="C187" s="15">
        <v>43405</v>
      </c>
      <c r="D187" s="13">
        <v>207101.185</v>
      </c>
      <c r="E187" s="13">
        <v>35081.405674025198</v>
      </c>
      <c r="F187" s="13">
        <v>593.04423393331103</v>
      </c>
      <c r="G187" s="59"/>
      <c r="H187" s="59"/>
    </row>
    <row r="188" spans="1:8" x14ac:dyDescent="0.25">
      <c r="A188" s="15">
        <f>+'TLZK Kal'!A192</f>
        <v>43392</v>
      </c>
      <c r="B188" s="15">
        <v>43406</v>
      </c>
      <c r="C188" s="15">
        <v>43419</v>
      </c>
      <c r="D188" s="13">
        <v>187434.65299999999</v>
      </c>
      <c r="E188" s="13">
        <v>35593.383564813201</v>
      </c>
      <c r="F188" s="13">
        <v>621.93754486972057</v>
      </c>
      <c r="G188" s="59"/>
      <c r="H188" s="59"/>
    </row>
    <row r="189" spans="1:8" x14ac:dyDescent="0.25">
      <c r="A189" s="15">
        <f>+'TLZK Kal'!A193</f>
        <v>43406</v>
      </c>
      <c r="B189" s="15">
        <v>43420</v>
      </c>
      <c r="C189" s="15">
        <v>43433</v>
      </c>
      <c r="D189" s="13">
        <v>187718.535</v>
      </c>
      <c r="E189" s="13">
        <v>35520.198862918274</v>
      </c>
      <c r="F189" s="13">
        <v>654.23308789315297</v>
      </c>
      <c r="G189" s="59"/>
      <c r="H189" s="59"/>
    </row>
    <row r="190" spans="1:8" x14ac:dyDescent="0.25">
      <c r="A190" s="15">
        <f>+'TLZK Kal'!A194</f>
        <v>43420</v>
      </c>
      <c r="B190" s="15">
        <v>43434</v>
      </c>
      <c r="C190" s="15">
        <v>43447</v>
      </c>
      <c r="D190" s="13">
        <v>181653.83</v>
      </c>
      <c r="E190" s="13">
        <v>35182.608645550696</v>
      </c>
      <c r="F190" s="13">
        <v>649.37664637795694</v>
      </c>
      <c r="G190" s="59"/>
      <c r="H190" s="59"/>
    </row>
    <row r="191" spans="1:8" x14ac:dyDescent="0.25">
      <c r="A191" s="15">
        <f>+'TLZK Kal'!A195</f>
        <v>43434</v>
      </c>
      <c r="B191" s="15">
        <v>43448</v>
      </c>
      <c r="C191" s="15">
        <v>43461</v>
      </c>
      <c r="D191" s="13">
        <v>172272.54800000001</v>
      </c>
      <c r="E191" s="13">
        <v>35223.087214466868</v>
      </c>
      <c r="F191" s="13">
        <v>682.54141251623503</v>
      </c>
      <c r="G191" s="59"/>
      <c r="H191" s="59"/>
    </row>
    <row r="192" spans="1:8" x14ac:dyDescent="0.25">
      <c r="A192" s="15">
        <f>+'TLZK Kal'!A196</f>
        <v>43448</v>
      </c>
      <c r="B192" s="15">
        <v>43462</v>
      </c>
      <c r="C192" s="15">
        <v>43475</v>
      </c>
      <c r="D192" s="13">
        <v>177415.94699999999</v>
      </c>
      <c r="E192" s="13">
        <v>34733.546754770498</v>
      </c>
      <c r="F192" s="13">
        <v>708.86744307785227</v>
      </c>
      <c r="G192" s="59"/>
      <c r="H192" s="59"/>
    </row>
    <row r="193" spans="1:8" x14ac:dyDescent="0.25">
      <c r="A193" s="15">
        <f>+'TLZK Kal'!A197</f>
        <v>43462</v>
      </c>
      <c r="B193" s="15">
        <v>43476</v>
      </c>
      <c r="C193" s="15">
        <v>43489</v>
      </c>
      <c r="D193" s="13">
        <v>176247.04800000001</v>
      </c>
      <c r="E193" s="13">
        <v>34997.846347633698</v>
      </c>
      <c r="F193" s="13">
        <v>705.61517915151205</v>
      </c>
      <c r="G193" s="59"/>
      <c r="H193" s="59"/>
    </row>
    <row r="194" spans="1:8" x14ac:dyDescent="0.25">
      <c r="A194" s="15">
        <f>+'TLZK Kal'!A198</f>
        <v>43476</v>
      </c>
      <c r="B194" s="15">
        <v>43490</v>
      </c>
      <c r="C194" s="15">
        <v>43503</v>
      </c>
      <c r="D194" s="13">
        <v>180498.68</v>
      </c>
      <c r="E194" s="13">
        <v>35206.128270603702</v>
      </c>
      <c r="F194" s="13">
        <v>734.31601114939645</v>
      </c>
      <c r="G194" s="59"/>
      <c r="H194" s="59"/>
    </row>
    <row r="195" spans="1:8" x14ac:dyDescent="0.25">
      <c r="A195" s="15">
        <f>+'TLZK Kal'!A199</f>
        <v>43490</v>
      </c>
      <c r="B195" s="15">
        <v>43504</v>
      </c>
      <c r="C195" s="15">
        <v>43517</v>
      </c>
      <c r="D195" s="13">
        <v>176111.92800000001</v>
      </c>
      <c r="E195" s="13">
        <v>35500.834851535801</v>
      </c>
      <c r="F195" s="13">
        <v>741.06646514283204</v>
      </c>
      <c r="G195" s="59"/>
      <c r="H195" s="59"/>
    </row>
    <row r="196" spans="1:8" x14ac:dyDescent="0.25">
      <c r="A196" s="15">
        <f>+'TLZK Kal'!A200</f>
        <v>43504</v>
      </c>
      <c r="B196" s="15">
        <v>43518</v>
      </c>
      <c r="C196" s="15">
        <v>43531</v>
      </c>
      <c r="D196" s="13">
        <v>177335.28599999999</v>
      </c>
      <c r="E196" s="13">
        <v>35690.201767321152</v>
      </c>
      <c r="F196" s="13">
        <v>800.82527546086692</v>
      </c>
      <c r="G196" s="59"/>
      <c r="H196" s="59"/>
    </row>
    <row r="197" spans="1:8" x14ac:dyDescent="0.25">
      <c r="A197" s="15">
        <f>+'TLZK Kal'!A201</f>
        <v>43518</v>
      </c>
      <c r="B197" s="15">
        <v>43532</v>
      </c>
      <c r="C197" s="15">
        <v>43545</v>
      </c>
      <c r="D197" s="13">
        <v>180180.22099999999</v>
      </c>
      <c r="E197" s="13">
        <v>36203.317909523699</v>
      </c>
      <c r="F197" s="13">
        <v>797.46765952923329</v>
      </c>
      <c r="G197" s="59"/>
      <c r="H197" s="59"/>
    </row>
    <row r="198" spans="1:8" x14ac:dyDescent="0.25">
      <c r="A198" s="15">
        <f>+'TLZK Kal'!A202</f>
        <v>43532</v>
      </c>
      <c r="B198" s="15">
        <v>43546</v>
      </c>
      <c r="C198" s="15">
        <v>43559</v>
      </c>
      <c r="D198" s="13">
        <v>184395.5</v>
      </c>
      <c r="E198" s="13">
        <v>37442.297880830098</v>
      </c>
      <c r="F198" s="13">
        <v>814.238912257945</v>
      </c>
      <c r="G198" s="59"/>
      <c r="H198" s="59"/>
    </row>
    <row r="199" spans="1:8" x14ac:dyDescent="0.25">
      <c r="A199" s="15">
        <f>+'TLZK Kal'!A203</f>
        <v>43546</v>
      </c>
      <c r="B199" s="15">
        <v>43560</v>
      </c>
      <c r="C199" s="15">
        <v>43573</v>
      </c>
      <c r="D199" s="13">
        <v>190295.75600000002</v>
      </c>
      <c r="E199" s="41">
        <v>39291.247128621799</v>
      </c>
      <c r="F199" s="13">
        <v>814.93182685067768</v>
      </c>
      <c r="G199" s="59"/>
      <c r="H199" s="59"/>
    </row>
    <row r="200" spans="1:8" x14ac:dyDescent="0.25">
      <c r="A200" s="15">
        <f>+'TLZK Kal'!A204</f>
        <v>43560</v>
      </c>
      <c r="B200" s="15">
        <v>43574</v>
      </c>
      <c r="C200" s="15">
        <v>43587</v>
      </c>
      <c r="D200" s="13">
        <v>197522.09899999999</v>
      </c>
      <c r="E200" s="41">
        <v>39582.415732018402</v>
      </c>
      <c r="F200" s="13">
        <v>857.63736582049899</v>
      </c>
      <c r="G200" s="59"/>
      <c r="H200" s="59"/>
    </row>
    <row r="201" spans="1:8" x14ac:dyDescent="0.25">
      <c r="A201" s="15">
        <f>+'TLZK Kal'!A205</f>
        <v>43574</v>
      </c>
      <c r="B201" s="15">
        <v>43588</v>
      </c>
      <c r="C201" s="15">
        <v>43601</v>
      </c>
      <c r="D201" s="41">
        <v>204003.60900000003</v>
      </c>
      <c r="E201" s="41">
        <v>39432.979964540231</v>
      </c>
      <c r="F201" s="41">
        <v>843.33042562359958</v>
      </c>
      <c r="G201" s="60"/>
      <c r="H201" s="60"/>
    </row>
    <row r="202" spans="1:8" x14ac:dyDescent="0.25">
      <c r="A202" s="15">
        <f>+'TLZK Kal'!A206</f>
        <v>43588</v>
      </c>
      <c r="B202" s="15">
        <v>43602</v>
      </c>
      <c r="C202" s="15">
        <v>43615</v>
      </c>
      <c r="D202" s="41">
        <v>224609.171</v>
      </c>
      <c r="E202" s="41">
        <v>42965.779183831059</v>
      </c>
      <c r="F202" s="41">
        <v>887.26441171022373</v>
      </c>
      <c r="G202" s="60"/>
      <c r="H202" s="60"/>
    </row>
    <row r="203" spans="1:8" x14ac:dyDescent="0.25">
      <c r="A203" s="15">
        <v>43602</v>
      </c>
      <c r="B203" s="15">
        <v>43616</v>
      </c>
      <c r="C203" s="15">
        <v>43629</v>
      </c>
      <c r="D203" s="41">
        <v>253397.717</v>
      </c>
      <c r="E203" s="41">
        <v>44359.820055834301</v>
      </c>
      <c r="F203" s="41">
        <v>1078.83573392011</v>
      </c>
      <c r="G203" s="60"/>
      <c r="H203" s="60"/>
    </row>
    <row r="204" spans="1:8" x14ac:dyDescent="0.25">
      <c r="A204" s="15">
        <f>+'TLZK Kal'!A208</f>
        <v>43616</v>
      </c>
      <c r="B204" s="15">
        <v>43630</v>
      </c>
      <c r="C204" s="15">
        <v>43643</v>
      </c>
      <c r="D204" s="41">
        <v>249355.95</v>
      </c>
      <c r="E204" s="41">
        <v>44673.396362961103</v>
      </c>
      <c r="F204" s="41">
        <v>1093.9169070935</v>
      </c>
      <c r="G204" s="60"/>
      <c r="H204" s="60"/>
    </row>
    <row r="205" spans="1:8" x14ac:dyDescent="0.25">
      <c r="A205" s="15">
        <f>+'TLZK Kal'!A209</f>
        <v>43630</v>
      </c>
      <c r="B205" s="15">
        <v>43644</v>
      </c>
      <c r="C205" s="15">
        <v>43657</v>
      </c>
      <c r="D205" s="41">
        <v>246670.77299999999</v>
      </c>
      <c r="E205" s="41">
        <v>44079.884709597703</v>
      </c>
      <c r="F205" s="41">
        <v>1120.44248588562</v>
      </c>
      <c r="G205" s="60"/>
      <c r="H205" s="60"/>
    </row>
    <row r="206" spans="1:8" x14ac:dyDescent="0.25">
      <c r="A206" s="15">
        <f>+'TLZK Kal'!A210</f>
        <v>43644</v>
      </c>
      <c r="B206" s="15">
        <v>43658</v>
      </c>
      <c r="C206" s="15">
        <v>43671</v>
      </c>
      <c r="D206" s="41">
        <v>242322.31400000001</v>
      </c>
      <c r="E206" s="41">
        <v>44052.343454088303</v>
      </c>
      <c r="F206" s="41">
        <v>1085.9758506313201</v>
      </c>
      <c r="G206" s="60"/>
      <c r="H206" s="60"/>
    </row>
    <row r="207" spans="1:8" x14ac:dyDescent="0.25">
      <c r="A207" s="15">
        <f>+'TLZK Kal'!A211</f>
        <v>43658</v>
      </c>
      <c r="B207" s="15">
        <v>43672</v>
      </c>
      <c r="C207" s="15">
        <v>43685</v>
      </c>
      <c r="D207" s="41">
        <v>238011.03</v>
      </c>
      <c r="E207" s="41">
        <v>43847.045313156297</v>
      </c>
      <c r="F207" s="41">
        <v>1153.1676592113699</v>
      </c>
      <c r="G207" s="60"/>
      <c r="H207" s="60"/>
    </row>
    <row r="208" spans="1:8" x14ac:dyDescent="0.25">
      <c r="A208" s="15">
        <f>+'TLZK Kal'!A212</f>
        <v>43672</v>
      </c>
      <c r="B208" s="15">
        <v>43686</v>
      </c>
      <c r="C208" s="15">
        <v>43699</v>
      </c>
      <c r="D208" s="41">
        <v>252256.88800000001</v>
      </c>
      <c r="E208" s="41">
        <v>45603.6228511519</v>
      </c>
      <c r="F208" s="41">
        <v>1261.1009547705601</v>
      </c>
      <c r="G208" s="60"/>
      <c r="H208" s="60"/>
    </row>
    <row r="209" spans="1:8" x14ac:dyDescent="0.25">
      <c r="A209" s="15">
        <f>+'TLZK Kal'!A213</f>
        <v>43686</v>
      </c>
      <c r="B209" s="15">
        <v>43700</v>
      </c>
      <c r="C209" s="15">
        <v>43713</v>
      </c>
      <c r="D209" s="41">
        <v>242001.35</v>
      </c>
      <c r="E209" s="41">
        <v>45746.931609856802</v>
      </c>
      <c r="F209" s="41">
        <v>1253.4451868874801</v>
      </c>
      <c r="G209" s="60"/>
      <c r="H209" s="60"/>
    </row>
    <row r="210" spans="1:8" x14ac:dyDescent="0.25">
      <c r="A210" s="15">
        <f>+'TLZK Kal'!A214</f>
        <v>43700</v>
      </c>
      <c r="B210" s="15">
        <v>43714</v>
      </c>
      <c r="C210" s="15">
        <v>43727</v>
      </c>
      <c r="D210" s="41">
        <v>250475.46900000001</v>
      </c>
      <c r="E210" s="41">
        <v>46182.017627440102</v>
      </c>
      <c r="F210" s="41">
        <v>1264.9704442298</v>
      </c>
      <c r="G210" s="60"/>
      <c r="H210" s="60"/>
    </row>
    <row r="211" spans="1:8" x14ac:dyDescent="0.25">
      <c r="A211" s="15">
        <v>43714</v>
      </c>
      <c r="B211" s="15">
        <v>43728</v>
      </c>
      <c r="C211" s="15">
        <v>43741</v>
      </c>
      <c r="D211" s="41">
        <v>248543.03</v>
      </c>
      <c r="E211" s="41">
        <v>46719.834579353606</v>
      </c>
      <c r="F211" s="41">
        <v>1384.5703896534101</v>
      </c>
      <c r="G211" s="60"/>
      <c r="H211" s="60"/>
    </row>
    <row r="212" spans="1:8" x14ac:dyDescent="0.25">
      <c r="A212" s="15">
        <v>43728</v>
      </c>
      <c r="B212" s="15">
        <v>43742</v>
      </c>
      <c r="C212" s="15">
        <v>43755</v>
      </c>
      <c r="D212" s="41">
        <v>263398.48800000001</v>
      </c>
      <c r="E212" s="41">
        <v>48432.066975595997</v>
      </c>
      <c r="F212" s="41">
        <v>1460.1287940599832</v>
      </c>
      <c r="G212" s="60"/>
      <c r="H212" s="60"/>
    </row>
    <row r="213" spans="1:8" x14ac:dyDescent="0.25">
      <c r="A213" s="15">
        <v>43742</v>
      </c>
      <c r="B213" s="15">
        <v>43756</v>
      </c>
      <c r="C213" s="15">
        <v>43769</v>
      </c>
      <c r="D213" s="41">
        <v>263931.30200000003</v>
      </c>
      <c r="E213" s="41">
        <v>49709.592944559801</v>
      </c>
      <c r="F213" s="41">
        <v>1531.155521335075</v>
      </c>
      <c r="G213" s="60"/>
      <c r="H213" s="60"/>
    </row>
    <row r="214" spans="1:8" x14ac:dyDescent="0.25">
      <c r="A214" s="15">
        <v>43756</v>
      </c>
      <c r="B214" s="15">
        <v>43770</v>
      </c>
      <c r="C214" s="15">
        <v>43783</v>
      </c>
      <c r="D214" s="41">
        <v>273675.13299999997</v>
      </c>
      <c r="E214" s="41">
        <v>49679.443791109697</v>
      </c>
      <c r="F214" s="41">
        <v>1507.48475618111</v>
      </c>
      <c r="G214" s="60"/>
      <c r="H214" s="60"/>
    </row>
    <row r="215" spans="1:8" x14ac:dyDescent="0.25">
      <c r="A215" s="15">
        <v>43770</v>
      </c>
      <c r="B215" s="15">
        <v>43784</v>
      </c>
      <c r="C215" s="15">
        <v>43797</v>
      </c>
      <c r="D215" s="41">
        <v>263576.32299999997</v>
      </c>
      <c r="E215" s="41">
        <v>49180.0763873658</v>
      </c>
      <c r="F215" s="41">
        <v>1655.7836396063201</v>
      </c>
      <c r="G215" s="60"/>
      <c r="H215" s="60"/>
    </row>
    <row r="216" spans="1:8" x14ac:dyDescent="0.25">
      <c r="A216" s="15">
        <v>43784</v>
      </c>
      <c r="B216" s="15">
        <v>43798</v>
      </c>
      <c r="C216" s="15">
        <v>43811</v>
      </c>
      <c r="D216" s="41">
        <v>265352.76399999997</v>
      </c>
      <c r="E216" s="41">
        <v>49170.462124022903</v>
      </c>
      <c r="F216" s="41">
        <v>1707.0119492302647</v>
      </c>
      <c r="G216" s="60"/>
      <c r="H216" s="60"/>
    </row>
    <row r="217" spans="1:8" x14ac:dyDescent="0.25">
      <c r="A217" s="15">
        <v>43798</v>
      </c>
      <c r="B217" s="15">
        <v>43812</v>
      </c>
      <c r="C217" s="15">
        <v>43825</v>
      </c>
      <c r="D217" s="41">
        <v>263904.89500000002</v>
      </c>
      <c r="E217" s="41">
        <v>48113.702105455101</v>
      </c>
      <c r="F217" s="41">
        <v>1828.6292691835499</v>
      </c>
      <c r="G217" s="60"/>
      <c r="H217" s="60"/>
    </row>
    <row r="218" spans="1:8" x14ac:dyDescent="0.25">
      <c r="A218" s="15">
        <v>43812</v>
      </c>
      <c r="B218" s="15">
        <v>43826</v>
      </c>
      <c r="C218" s="15">
        <v>43839</v>
      </c>
      <c r="D218" s="41">
        <v>265265.10499999998</v>
      </c>
      <c r="E218" s="41">
        <v>48610.579713520499</v>
      </c>
      <c r="F218" s="41">
        <v>1809.2148252040899</v>
      </c>
      <c r="G218" s="60"/>
      <c r="H218" s="60"/>
    </row>
    <row r="219" spans="1:8" x14ac:dyDescent="0.25">
      <c r="A219" s="15">
        <v>43826</v>
      </c>
      <c r="B219" s="15">
        <v>43840</v>
      </c>
      <c r="C219" s="15">
        <v>43853</v>
      </c>
      <c r="D219" s="41">
        <v>287898.71100000001</v>
      </c>
      <c r="E219" s="41">
        <v>51404.197240228001</v>
      </c>
      <c r="F219" s="41">
        <v>2048.0878253342098</v>
      </c>
      <c r="G219" s="60"/>
      <c r="H219" s="60"/>
    </row>
    <row r="220" spans="1:8" ht="15.75" customHeight="1" x14ac:dyDescent="0.25">
      <c r="A220" s="15">
        <f>+'TLZK Tesis'!A220</f>
        <v>43840</v>
      </c>
      <c r="B220" s="15">
        <f>+'TLZK Tesis'!B220</f>
        <v>43854</v>
      </c>
      <c r="C220" s="15">
        <f>+'TLZK Tesis'!C220</f>
        <v>43867</v>
      </c>
      <c r="D220" s="41">
        <v>286797.31400000001</v>
      </c>
      <c r="E220" s="41">
        <v>50728.762725386798</v>
      </c>
      <c r="F220" s="41">
        <v>2198.77914020872</v>
      </c>
      <c r="G220" s="60"/>
      <c r="H220" s="60"/>
    </row>
    <row r="221" spans="1:8" ht="15.75" customHeight="1" x14ac:dyDescent="0.25">
      <c r="A221" s="15">
        <f>+'TLZK Tesis'!A221</f>
        <v>43854</v>
      </c>
      <c r="B221" s="15">
        <f>+'TLZK Tesis'!B221</f>
        <v>43868</v>
      </c>
      <c r="C221" s="15">
        <f>+'TLZK Tesis'!C221</f>
        <v>43881</v>
      </c>
      <c r="D221" s="41">
        <v>289216.87300000002</v>
      </c>
      <c r="E221" s="41">
        <v>50744.378500135303</v>
      </c>
      <c r="F221" s="41">
        <v>2263.0697643028702</v>
      </c>
      <c r="G221" s="60"/>
      <c r="H221" s="60"/>
    </row>
    <row r="222" spans="1:8" ht="15.75" customHeight="1" x14ac:dyDescent="0.25">
      <c r="A222" s="15">
        <f>+'TLZK Tesis'!A222</f>
        <v>43868</v>
      </c>
      <c r="B222" s="15">
        <f>+'TLZK Tesis'!B222</f>
        <v>43882</v>
      </c>
      <c r="C222" s="15">
        <f>+'TLZK Tesis'!C222</f>
        <v>43895</v>
      </c>
      <c r="D222" s="41">
        <v>290371.30800000002</v>
      </c>
      <c r="E222" s="41">
        <v>51009.512490005502</v>
      </c>
      <c r="F222" s="41">
        <v>2395.4650960612339</v>
      </c>
      <c r="G222" s="60"/>
      <c r="H222" s="60"/>
    </row>
    <row r="223" spans="1:8" ht="15.75" customHeight="1" x14ac:dyDescent="0.25">
      <c r="A223" s="15">
        <f>+'TLZK Tesis'!A223</f>
        <v>43882</v>
      </c>
      <c r="B223" s="15">
        <f>+'TLZK Tesis'!B223</f>
        <v>43896</v>
      </c>
      <c r="C223" s="15">
        <f>+'TLZK Tesis'!C223</f>
        <v>43909</v>
      </c>
      <c r="D223" s="41">
        <v>296409.67700000003</v>
      </c>
      <c r="E223" s="41">
        <v>49944.926244081304</v>
      </c>
      <c r="F223" s="41">
        <v>2542.3759280527202</v>
      </c>
      <c r="G223" s="60"/>
      <c r="H223" s="60"/>
    </row>
    <row r="224" spans="1:8" ht="15.75" customHeight="1" x14ac:dyDescent="0.25">
      <c r="A224" s="15">
        <f>+'TLZK Tesis'!A224</f>
        <v>43896</v>
      </c>
      <c r="B224" s="15">
        <f>+'TLZK Tesis'!B224</f>
        <v>43910</v>
      </c>
      <c r="C224" s="15">
        <f>+'TLZK Tesis'!C224</f>
        <v>43923</v>
      </c>
      <c r="D224" s="41">
        <v>265290.283</v>
      </c>
      <c r="E224" s="41">
        <v>45673.5232936221</v>
      </c>
      <c r="F224" s="41">
        <v>2283.40979292878</v>
      </c>
      <c r="G224" s="60"/>
      <c r="H224" s="60"/>
    </row>
    <row r="225" spans="1:16" ht="15.75" customHeight="1" x14ac:dyDescent="0.25">
      <c r="A225" s="15">
        <f>+'TLZK Tesis'!A225</f>
        <v>43910</v>
      </c>
      <c r="B225" s="15">
        <f>+'TLZK Tesis'!B225</f>
        <v>43924</v>
      </c>
      <c r="C225" s="15">
        <f>+'TLZK Tesis'!C225</f>
        <v>43937</v>
      </c>
      <c r="D225" s="41">
        <v>280904.598</v>
      </c>
      <c r="E225" s="41">
        <v>44517.0699534948</v>
      </c>
      <c r="F225" s="41">
        <v>2409.8442143532702</v>
      </c>
      <c r="G225" s="60"/>
      <c r="H225" s="60"/>
    </row>
    <row r="226" spans="1:16" ht="15.75" customHeight="1" x14ac:dyDescent="0.25">
      <c r="A226" s="15">
        <f>+'TLZK Tesis'!A226</f>
        <v>43924</v>
      </c>
      <c r="B226" s="15">
        <f>+'TLZK Tesis'!B226</f>
        <v>43938</v>
      </c>
      <c r="C226" s="15">
        <f>+'TLZK Tesis'!C226</f>
        <v>43954</v>
      </c>
      <c r="D226" s="41">
        <v>272924.70400000003</v>
      </c>
      <c r="E226" s="41">
        <v>43541.595359071303</v>
      </c>
      <c r="F226" s="41">
        <v>2227.3848062413299</v>
      </c>
      <c r="G226" s="60"/>
      <c r="H226" s="60"/>
    </row>
    <row r="227" spans="1:16" ht="15.75" customHeight="1" x14ac:dyDescent="0.25">
      <c r="A227" s="15">
        <f>+'TLZK Tesis'!A227</f>
        <v>43938</v>
      </c>
      <c r="B227" s="15">
        <f>+'TLZK Tesis'!B227</f>
        <v>43955</v>
      </c>
      <c r="C227" s="15">
        <f>+'TLZK Tesis'!C227</f>
        <v>43965</v>
      </c>
      <c r="D227" s="41">
        <v>282940.473</v>
      </c>
      <c r="E227" s="41">
        <v>40947.978562101001</v>
      </c>
      <c r="F227" s="41">
        <v>2642.0473007887399</v>
      </c>
      <c r="G227" s="60"/>
      <c r="H227" s="60"/>
      <c r="N227" s="21"/>
    </row>
    <row r="228" spans="1:16" ht="15.75" customHeight="1" x14ac:dyDescent="0.25">
      <c r="A228" s="15">
        <f>+'TLZK Tesis'!A228</f>
        <v>43951</v>
      </c>
      <c r="B228" s="15">
        <f>+'TLZK Tesis'!B228</f>
        <v>43966</v>
      </c>
      <c r="C228" s="15">
        <f>+'TLZK Tesis'!C228</f>
        <v>43979</v>
      </c>
      <c r="D228" s="41">
        <v>265697.49599999998</v>
      </c>
      <c r="E228" s="41">
        <v>38588.681501139203</v>
      </c>
      <c r="F228" s="41">
        <v>2489.9613847196902</v>
      </c>
      <c r="G228" s="60"/>
      <c r="H228" s="60"/>
      <c r="N228" s="21"/>
    </row>
    <row r="229" spans="1:16" ht="15.75" customHeight="1" x14ac:dyDescent="0.25">
      <c r="A229" s="15">
        <f>+'TLZK Tesis'!A229</f>
        <v>43966</v>
      </c>
      <c r="B229" s="15">
        <f>+'TLZK Tesis'!B229</f>
        <v>43980</v>
      </c>
      <c r="C229" s="15">
        <f>+'TLZK Tesis'!C229</f>
        <v>43993</v>
      </c>
      <c r="D229" s="41">
        <v>265747.65299999999</v>
      </c>
      <c r="E229" s="41">
        <v>38424.9811927872</v>
      </c>
      <c r="F229" s="41">
        <v>2498.6793711096507</v>
      </c>
      <c r="G229" s="60"/>
      <c r="H229" s="60"/>
      <c r="N229" s="21"/>
    </row>
    <row r="230" spans="1:16" ht="15.75" customHeight="1" x14ac:dyDescent="0.25">
      <c r="A230" s="15">
        <f>+'TLZK Tesis'!A230</f>
        <v>43980</v>
      </c>
      <c r="B230" s="15">
        <f>+'TLZK Tesis'!B230</f>
        <v>43994</v>
      </c>
      <c r="C230" s="15">
        <f>+'TLZK Tesis'!C230</f>
        <v>44007</v>
      </c>
      <c r="D230" s="41">
        <v>264262.99599999998</v>
      </c>
      <c r="E230" s="41">
        <v>38364.472003564399</v>
      </c>
      <c r="F230" s="41">
        <v>2763.3000675404351</v>
      </c>
      <c r="G230" s="60"/>
      <c r="H230" s="60"/>
    </row>
    <row r="231" spans="1:16" ht="15.75" customHeight="1" x14ac:dyDescent="0.25">
      <c r="A231" s="15">
        <f>+'TLZK Tesis'!A231</f>
        <v>43994</v>
      </c>
      <c r="B231" s="15">
        <f>+'TLZK Tesis'!B231</f>
        <v>44008</v>
      </c>
      <c r="C231" s="15">
        <f>+'TLZK Tesis'!C231</f>
        <v>44021</v>
      </c>
      <c r="D231" s="41">
        <v>264809.07400000002</v>
      </c>
      <c r="E231" s="41">
        <v>38040.173429902497</v>
      </c>
      <c r="F231" s="41">
        <v>2695.8546488344</v>
      </c>
      <c r="G231" s="60"/>
      <c r="H231" s="60"/>
      <c r="N231" s="21"/>
    </row>
    <row r="232" spans="1:16" ht="15.75" customHeight="1" x14ac:dyDescent="0.25">
      <c r="A232" s="15">
        <f>+'TLZK Tesis'!A232</f>
        <v>44008</v>
      </c>
      <c r="B232" s="15">
        <f>+'TLZK Tesis'!B232</f>
        <v>44022</v>
      </c>
      <c r="C232" s="15">
        <f>+'TLZK Tesis'!C232</f>
        <v>44035</v>
      </c>
      <c r="D232" s="41">
        <v>252255.55300000001</v>
      </c>
      <c r="E232" s="41">
        <v>36201.805149048698</v>
      </c>
      <c r="F232" s="41">
        <v>2542.9860155681399</v>
      </c>
      <c r="G232" s="60"/>
      <c r="H232" s="60"/>
      <c r="N232" s="21"/>
    </row>
    <row r="233" spans="1:16" ht="15.75" customHeight="1" x14ac:dyDescent="0.25">
      <c r="A233" s="15">
        <f>+'TLZK Tesis'!A233</f>
        <v>44022</v>
      </c>
      <c r="B233" s="15">
        <f>+'TLZK Tesis'!B233</f>
        <v>44036</v>
      </c>
      <c r="C233" s="15">
        <f>+'TLZK Tesis'!C233</f>
        <v>44049</v>
      </c>
      <c r="D233" s="41">
        <v>316763.56599999999</v>
      </c>
      <c r="E233" s="41">
        <v>43990.829154530897</v>
      </c>
      <c r="F233" s="41">
        <v>3254.4277902068402</v>
      </c>
      <c r="G233" s="60"/>
      <c r="H233" s="60"/>
      <c r="N233" s="21"/>
    </row>
    <row r="234" spans="1:16" ht="15.75" customHeight="1" x14ac:dyDescent="0.25">
      <c r="A234" s="15">
        <f>+'TLZK Tesis'!A234</f>
        <v>44036</v>
      </c>
      <c r="B234" s="15">
        <f>+'TLZK Tesis'!B234</f>
        <v>44050</v>
      </c>
      <c r="C234" s="15">
        <f>+'TLZK Tesis'!C234</f>
        <v>44063</v>
      </c>
      <c r="D234" s="41">
        <v>310898.54800000001</v>
      </c>
      <c r="E234" s="41">
        <v>42799.117809592099</v>
      </c>
      <c r="F234" s="41">
        <v>3546.8157188125601</v>
      </c>
      <c r="G234" s="60"/>
      <c r="H234" s="60"/>
    </row>
    <row r="235" spans="1:16" ht="15.75" customHeight="1" x14ac:dyDescent="0.25">
      <c r="A235" s="15">
        <f>+'TLZK Tesis'!A235</f>
        <v>44050</v>
      </c>
      <c r="B235" s="15">
        <f>+'TLZK Tesis'!B235</f>
        <v>44064</v>
      </c>
      <c r="C235" s="15">
        <f>+'TLZK Tesis'!C235</f>
        <v>44077</v>
      </c>
      <c r="D235" s="41">
        <v>335959.30099999998</v>
      </c>
      <c r="E235" s="41">
        <v>44354.4417204196</v>
      </c>
      <c r="F235" s="41">
        <v>4247.9625504906953</v>
      </c>
      <c r="G235" s="60"/>
      <c r="H235" s="60"/>
    </row>
    <row r="236" spans="1:16" ht="15.75" customHeight="1" x14ac:dyDescent="0.25">
      <c r="A236" s="15">
        <f>+'TLZK Tesis'!A236</f>
        <v>44064</v>
      </c>
      <c r="B236" s="15">
        <f>+'TLZK Tesis'!B236</f>
        <v>44078</v>
      </c>
      <c r="C236" s="15">
        <f>+'TLZK Tesis'!C236</f>
        <v>44091</v>
      </c>
      <c r="D236" s="41">
        <v>389398.09500000003</v>
      </c>
      <c r="E236" s="41">
        <v>49271.605257155403</v>
      </c>
      <c r="F236" s="41">
        <v>5375.5701465411212</v>
      </c>
      <c r="G236" s="60"/>
      <c r="H236" s="60"/>
    </row>
    <row r="237" spans="1:16" ht="15.75" customHeight="1" x14ac:dyDescent="0.25">
      <c r="A237" s="15">
        <f>+'TLZK Tesis'!A237</f>
        <v>44078</v>
      </c>
      <c r="B237" s="15">
        <f>+'TLZK Tesis'!B237</f>
        <v>44092</v>
      </c>
      <c r="C237" s="15">
        <f>+'TLZK Tesis'!C237</f>
        <v>44105</v>
      </c>
      <c r="D237" s="41">
        <v>394200.27600000001</v>
      </c>
      <c r="E237" s="41">
        <v>49008.585513825397</v>
      </c>
      <c r="F237" s="41">
        <v>5526.55665508938</v>
      </c>
      <c r="G237" s="60"/>
      <c r="H237" s="60"/>
    </row>
    <row r="238" spans="1:16" ht="15.75" customHeight="1" x14ac:dyDescent="0.25">
      <c r="A238" s="15">
        <f>+'TLZK Tesis'!A238</f>
        <v>44092</v>
      </c>
      <c r="B238" s="15">
        <f>+'TLZK Tesis'!B238</f>
        <v>44106</v>
      </c>
      <c r="C238" s="15">
        <f>+'TLZK Tesis'!C238</f>
        <v>44119</v>
      </c>
      <c r="D238" s="41">
        <v>399594.565</v>
      </c>
      <c r="E238" s="41">
        <v>49119.356091920403</v>
      </c>
      <c r="F238" s="41">
        <v>5466.9428850977401</v>
      </c>
      <c r="G238" s="60"/>
      <c r="H238" s="60"/>
    </row>
    <row r="239" spans="1:16" ht="15.75" customHeight="1" x14ac:dyDescent="0.25">
      <c r="A239" s="15">
        <f>+'TLZK Tesis'!A239</f>
        <v>44106</v>
      </c>
      <c r="B239" s="15">
        <f>+'TLZK Tesis'!B239</f>
        <v>44120</v>
      </c>
      <c r="C239" s="15">
        <f>+'TLZK Tesis'!C239</f>
        <v>44133</v>
      </c>
      <c r="D239" s="41">
        <v>400540.92800000001</v>
      </c>
      <c r="E239" s="41">
        <v>47943.018035505404</v>
      </c>
      <c r="F239" s="41">
        <v>5714.2113743724622</v>
      </c>
      <c r="G239" s="60"/>
      <c r="H239" s="60"/>
      <c r="M239" s="21"/>
      <c r="N239" s="21"/>
      <c r="P239" s="21"/>
    </row>
    <row r="240" spans="1:16" ht="15.75" customHeight="1" x14ac:dyDescent="0.25">
      <c r="A240" s="15">
        <f>+'TLZK Tesis'!A240</f>
        <v>44120</v>
      </c>
      <c r="B240" s="15">
        <f>+'TLZK Tesis'!B240</f>
        <v>44134</v>
      </c>
      <c r="C240" s="15">
        <f>+'TLZK Tesis'!C240</f>
        <v>44147</v>
      </c>
      <c r="D240" s="41">
        <v>409096.48100000003</v>
      </c>
      <c r="E240" s="41">
        <v>47614.134528161201</v>
      </c>
      <c r="F240" s="41">
        <v>5647.0368945017699</v>
      </c>
      <c r="G240" s="60"/>
      <c r="H240" s="60"/>
      <c r="M240" s="21"/>
      <c r="N240" s="21"/>
      <c r="P240" s="21"/>
    </row>
    <row r="241" spans="1:16" ht="15.75" customHeight="1" x14ac:dyDescent="0.25">
      <c r="A241" s="15">
        <f>+'TLZK Tesis'!A241</f>
        <v>44134</v>
      </c>
      <c r="B241" s="15">
        <f>+'TLZK Tesis'!B241</f>
        <v>44148</v>
      </c>
      <c r="C241" s="15">
        <f>+'TLZK Tesis'!C241</f>
        <v>44161</v>
      </c>
      <c r="D241" s="41">
        <v>426944.01800000004</v>
      </c>
      <c r="E241" s="41">
        <v>48744.013086650804</v>
      </c>
      <c r="F241" s="41">
        <v>5851.2824683361941</v>
      </c>
      <c r="G241" s="60"/>
      <c r="H241" s="60"/>
    </row>
    <row r="242" spans="1:16" ht="15.75" customHeight="1" x14ac:dyDescent="0.25">
      <c r="A242" s="15">
        <f>+'TLZK Tesis'!A242</f>
        <v>44148</v>
      </c>
      <c r="B242" s="15">
        <f>+'TLZK Tesis'!B242</f>
        <v>44162</v>
      </c>
      <c r="C242" s="15">
        <f>+'TLZK Tesis'!C242</f>
        <v>44175</v>
      </c>
      <c r="D242" s="41">
        <v>413643.68300000002</v>
      </c>
      <c r="E242" s="41">
        <v>50233.986250128401</v>
      </c>
      <c r="F242" s="41">
        <v>5980.7716531419501</v>
      </c>
      <c r="G242" s="60"/>
      <c r="H242" s="60"/>
      <c r="M242"/>
      <c r="N242"/>
      <c r="O242"/>
      <c r="P242" s="21"/>
    </row>
    <row r="243" spans="1:16" ht="15.75" customHeight="1" x14ac:dyDescent="0.25">
      <c r="A243" s="15">
        <f>+'TLZK Tesis'!A243</f>
        <v>44162</v>
      </c>
      <c r="B243" s="15">
        <f>+'TLZK Tesis'!B243</f>
        <v>44176</v>
      </c>
      <c r="C243" s="15">
        <f>+'TLZK Tesis'!C243</f>
        <v>44189</v>
      </c>
      <c r="D243" s="41">
        <v>422665</v>
      </c>
      <c r="E243" s="41">
        <v>52317.223024890751</v>
      </c>
      <c r="F243" s="41">
        <v>6141.7334228388254</v>
      </c>
      <c r="G243" s="60"/>
      <c r="H243" s="60"/>
      <c r="M243"/>
      <c r="N243"/>
      <c r="O243"/>
    </row>
    <row r="244" spans="1:16" ht="15.75" customHeight="1" x14ac:dyDescent="0.25">
      <c r="A244" s="15">
        <f>+'TLZK Tesis'!A244</f>
        <v>44176</v>
      </c>
      <c r="B244" s="15">
        <f>+'TLZK Tesis'!B244</f>
        <v>44190</v>
      </c>
      <c r="C244" s="15">
        <f>+'TLZK Tesis'!C244</f>
        <v>44203</v>
      </c>
      <c r="D244" s="41">
        <v>455217.96100000001</v>
      </c>
      <c r="E244" s="41">
        <v>54452.906451037597</v>
      </c>
      <c r="F244" s="41">
        <v>6335.6476449382899</v>
      </c>
      <c r="G244" s="60"/>
      <c r="H244" s="60"/>
      <c r="M244"/>
      <c r="N244"/>
      <c r="O244"/>
    </row>
    <row r="245" spans="1:16" ht="15.75" customHeight="1" x14ac:dyDescent="0.25">
      <c r="A245" s="15">
        <f>+'TLZK Tesis'!A245</f>
        <v>44190</v>
      </c>
      <c r="B245" s="15">
        <f>+'TLZK Tesis'!B245</f>
        <v>44204</v>
      </c>
      <c r="C245" s="15">
        <f>+'TLZK Tesis'!C245</f>
        <v>44217</v>
      </c>
      <c r="D245" s="41">
        <v>448820.92800000001</v>
      </c>
      <c r="E245" s="41">
        <v>54850.433474209203</v>
      </c>
      <c r="F245" s="41">
        <v>6281.17863503014</v>
      </c>
      <c r="G245" s="60"/>
      <c r="H245" s="60"/>
      <c r="M245"/>
      <c r="N245"/>
      <c r="O245"/>
    </row>
    <row r="246" spans="1:16" ht="15.75" customHeight="1" x14ac:dyDescent="0.25">
      <c r="A246" s="15">
        <f>+'TLZK Tesis'!A246</f>
        <v>44204</v>
      </c>
      <c r="B246" s="15">
        <f>+'TLZK Tesis'!B246</f>
        <v>44218</v>
      </c>
      <c r="C246" s="15">
        <f>+'TLZK Tesis'!C246</f>
        <v>44231</v>
      </c>
      <c r="D246" s="41">
        <v>431408.06900000002</v>
      </c>
      <c r="E246" s="41">
        <v>56250.960703532102</v>
      </c>
      <c r="F246" s="41">
        <v>6544.0802296214197</v>
      </c>
      <c r="G246" s="60"/>
      <c r="H246" s="60"/>
    </row>
    <row r="247" spans="1:16" ht="15.75" customHeight="1" x14ac:dyDescent="0.25">
      <c r="A247" s="15">
        <f>+'TLZK Tesis'!A247</f>
        <v>44218</v>
      </c>
      <c r="B247" s="15">
        <f>+'TLZK Tesis'!B247</f>
        <v>44232</v>
      </c>
      <c r="C247" s="15">
        <f>+'TLZK Tesis'!C247</f>
        <v>44245</v>
      </c>
      <c r="D247" s="41">
        <v>438453.38</v>
      </c>
      <c r="E247" s="41">
        <v>55359.767894252102</v>
      </c>
      <c r="F247" s="41">
        <v>6632.3824255997497</v>
      </c>
      <c r="G247" s="60"/>
      <c r="H247" s="60"/>
    </row>
    <row r="248" spans="1:16" ht="15.75" customHeight="1" x14ac:dyDescent="0.25">
      <c r="A248" s="15">
        <f>+'TLZK Tesis'!A248</f>
        <v>44232</v>
      </c>
      <c r="B248" s="15">
        <f>+'TLZK Tesis'!B248</f>
        <v>44246</v>
      </c>
      <c r="C248" s="15">
        <f>+'TLZK Tesis'!C248</f>
        <v>44259</v>
      </c>
      <c r="D248" s="41">
        <v>418807.52399999998</v>
      </c>
      <c r="E248" s="41">
        <v>54565.910260220975</v>
      </c>
      <c r="F248" s="41">
        <v>5983.6139022518701</v>
      </c>
      <c r="G248" s="60"/>
      <c r="H248" s="60"/>
    </row>
    <row r="249" spans="1:16" ht="15.75" customHeight="1" x14ac:dyDescent="0.25">
      <c r="A249" s="15">
        <f>+'TLZK Tesis'!A249</f>
        <v>44246</v>
      </c>
      <c r="B249" s="15">
        <f>+'TLZK Tesis'!B249</f>
        <v>44260</v>
      </c>
      <c r="C249" s="15">
        <f>+'TLZK Tesis'!C249</f>
        <v>44273</v>
      </c>
      <c r="D249" s="41">
        <v>409390.723</v>
      </c>
      <c r="E249" s="41">
        <v>55005.6198009406</v>
      </c>
      <c r="F249" s="41">
        <v>6362.6689918247303</v>
      </c>
      <c r="G249" s="60"/>
      <c r="H249" s="60"/>
    </row>
    <row r="250" spans="1:16" ht="15.75" customHeight="1" x14ac:dyDescent="0.25">
      <c r="A250" s="15">
        <f>+'TLZK Tesis'!A250</f>
        <v>44260</v>
      </c>
      <c r="B250" s="15">
        <f>+'TLZK Tesis'!B250</f>
        <v>44274</v>
      </c>
      <c r="C250" s="15">
        <f>+'TLZK Tesis'!C250</f>
        <v>44287</v>
      </c>
      <c r="D250" s="41">
        <v>433173.75300000003</v>
      </c>
      <c r="E250" s="41">
        <v>54272.518396758103</v>
      </c>
      <c r="F250" s="41">
        <v>5933.2561584302002</v>
      </c>
      <c r="G250" s="60"/>
      <c r="H250" s="60"/>
    </row>
    <row r="251" spans="1:16" ht="15.75" customHeight="1" x14ac:dyDescent="0.25">
      <c r="A251" s="15">
        <f>+'TLZK Tesis'!A251</f>
        <v>44274</v>
      </c>
      <c r="B251" s="15">
        <f>+'TLZK Tesis'!B251</f>
        <v>44288</v>
      </c>
      <c r="C251" s="15">
        <f>+'TLZK Tesis'!C251</f>
        <v>44301</v>
      </c>
      <c r="D251" s="41">
        <v>434242.63299999997</v>
      </c>
      <c r="E251" s="41">
        <v>54969.811602858899</v>
      </c>
      <c r="F251" s="41">
        <v>5832.0105414043801</v>
      </c>
      <c r="G251" s="60"/>
      <c r="H251" s="60"/>
    </row>
    <row r="252" spans="1:16" ht="15.75" customHeight="1" x14ac:dyDescent="0.25">
      <c r="A252" s="15">
        <f>+'TLZK Tesis'!A252</f>
        <v>44288</v>
      </c>
      <c r="B252" s="15">
        <f>+'TLZK Tesis'!B252</f>
        <v>44302</v>
      </c>
      <c r="C252" s="15">
        <f>+'TLZK Tesis'!C252</f>
        <v>44315</v>
      </c>
      <c r="D252" s="41">
        <v>458130.79200000002</v>
      </c>
      <c r="E252" s="41">
        <v>53532.611470253498</v>
      </c>
      <c r="F252" s="41">
        <v>5621.2653102515897</v>
      </c>
      <c r="G252" s="60"/>
      <c r="H252" s="60"/>
    </row>
    <row r="253" spans="1:16" ht="15.75" customHeight="1" x14ac:dyDescent="0.25">
      <c r="A253" s="15">
        <f>+'TLZK Tesis'!A253</f>
        <v>44302</v>
      </c>
      <c r="B253" s="15">
        <f>+'TLZK Tesis'!B253</f>
        <v>44316</v>
      </c>
      <c r="C253" s="15">
        <f>+'TLZK Tesis'!C253</f>
        <v>44332</v>
      </c>
      <c r="D253" s="41">
        <v>459180.46500000003</v>
      </c>
      <c r="E253" s="41">
        <v>53919.179761937303</v>
      </c>
      <c r="F253" s="41">
        <v>5774.2579012979704</v>
      </c>
      <c r="G253" s="60"/>
      <c r="H253" s="60"/>
      <c r="I253" s="21"/>
      <c r="J253" s="21"/>
      <c r="K253" s="21"/>
    </row>
    <row r="254" spans="1:16" ht="15.75" customHeight="1" x14ac:dyDescent="0.25">
      <c r="A254" s="15">
        <f>+'TLZK Tesis'!A254</f>
        <v>44316</v>
      </c>
      <c r="B254" s="15">
        <f>+'TLZK Tesis'!B254</f>
        <v>44333</v>
      </c>
      <c r="C254" s="15">
        <f>+'TLZK Tesis'!C254</f>
        <v>44343</v>
      </c>
      <c r="D254" s="41">
        <v>466090.97100000002</v>
      </c>
      <c r="E254" s="41">
        <v>54752.608141597302</v>
      </c>
      <c r="F254" s="41">
        <v>5868.3995345324802</v>
      </c>
      <c r="G254" s="60"/>
      <c r="H254" s="60"/>
      <c r="J254" s="21"/>
    </row>
    <row r="255" spans="1:16" ht="15.75" customHeight="1" x14ac:dyDescent="0.25">
      <c r="A255" s="15">
        <f>+'TLZK Tesis'!A255</f>
        <v>44328</v>
      </c>
      <c r="B255" s="15">
        <f>+'TLZK Tesis'!B255</f>
        <v>44344</v>
      </c>
      <c r="C255" s="15">
        <f>+'TLZK Tesis'!C255</f>
        <v>44357</v>
      </c>
      <c r="D255" s="41">
        <v>474761.37599999999</v>
      </c>
      <c r="E255" s="41">
        <v>55093.156906247401</v>
      </c>
      <c r="F255" s="41">
        <v>5985.2308963533496</v>
      </c>
      <c r="G255" s="60"/>
      <c r="H255" s="60"/>
      <c r="J255" s="21"/>
    </row>
    <row r="256" spans="1:16" ht="15.75" customHeight="1" x14ac:dyDescent="0.25">
      <c r="A256" s="15">
        <f>+'TLZK Tesis'!A256</f>
        <v>44344</v>
      </c>
      <c r="B256" s="15">
        <f>+'TLZK Tesis'!B256</f>
        <v>44358</v>
      </c>
      <c r="C256" s="15">
        <f>+'TLZK Tesis'!C256</f>
        <v>44371</v>
      </c>
      <c r="D256" s="41">
        <v>484977.63199999998</v>
      </c>
      <c r="E256" s="41">
        <v>55710.235498025402</v>
      </c>
      <c r="F256" s="41">
        <v>5827.7338410243201</v>
      </c>
      <c r="G256" s="60"/>
      <c r="H256" s="60"/>
      <c r="J256" s="21"/>
    </row>
    <row r="257" spans="1:10" ht="15.75" customHeight="1" x14ac:dyDescent="0.25">
      <c r="A257" s="15">
        <f>+'TLZK Tesis'!A257</f>
        <v>44358</v>
      </c>
      <c r="B257" s="15">
        <f>+'TLZK Tesis'!B257</f>
        <v>44372</v>
      </c>
      <c r="C257" s="15">
        <f>+'TLZK Tesis'!C257</f>
        <v>44385</v>
      </c>
      <c r="D257" s="41">
        <v>490316.55099999998</v>
      </c>
      <c r="E257" s="41">
        <v>56197.364271799102</v>
      </c>
      <c r="F257" s="41">
        <v>5565.7312544181668</v>
      </c>
      <c r="G257" s="60"/>
      <c r="H257" s="60"/>
      <c r="J257" s="21"/>
    </row>
    <row r="258" spans="1:10" ht="15.75" customHeight="1" x14ac:dyDescent="0.25">
      <c r="A258" s="15">
        <f>+'TLZK Tesis'!A258</f>
        <v>44372</v>
      </c>
      <c r="B258" s="15">
        <f>+'TLZK Tesis'!B258</f>
        <v>44386</v>
      </c>
      <c r="C258" s="15">
        <f>+'TLZK Tesis'!C258</f>
        <v>44402</v>
      </c>
      <c r="D258" s="41">
        <v>495045.12400000001</v>
      </c>
      <c r="E258" s="41">
        <v>56850.06432760154</v>
      </c>
      <c r="F258" s="41">
        <v>5480.5533332313262</v>
      </c>
      <c r="G258" s="60"/>
      <c r="H258" s="60"/>
      <c r="J258" s="21"/>
    </row>
    <row r="259" spans="1:10" ht="15.75" customHeight="1" x14ac:dyDescent="0.25">
      <c r="A259" s="15">
        <f>+'TLZK Tesis'!A259</f>
        <v>44386</v>
      </c>
      <c r="B259" s="15">
        <f>+'TLZK Tesis'!B259</f>
        <v>44403</v>
      </c>
      <c r="C259" s="15">
        <f>+'TLZK Tesis'!C259</f>
        <v>44413</v>
      </c>
      <c r="D259" s="41">
        <v>497922.23499999999</v>
      </c>
      <c r="E259" s="41">
        <v>57021.479556908802</v>
      </c>
      <c r="F259" s="41">
        <v>5514.3717650529197</v>
      </c>
      <c r="G259" s="60"/>
      <c r="H259" s="60"/>
      <c r="J259" s="21"/>
    </row>
    <row r="260" spans="1:10" ht="15.75" customHeight="1" x14ac:dyDescent="0.25">
      <c r="A260" s="15">
        <f>+'TLZK Tesis'!A260</f>
        <v>44396</v>
      </c>
      <c r="B260" s="15">
        <f>+'TLZK Tesis'!B260</f>
        <v>44414</v>
      </c>
      <c r="C260" s="15">
        <f>+'TLZK Tesis'!C260</f>
        <v>44427</v>
      </c>
      <c r="D260" s="41">
        <v>528589.59299999999</v>
      </c>
      <c r="E260" s="41">
        <v>61193.946252834896</v>
      </c>
      <c r="F260" s="41">
        <v>5753.7958537633267</v>
      </c>
      <c r="G260" s="60"/>
      <c r="H260" s="60"/>
      <c r="J260" s="21"/>
    </row>
    <row r="261" spans="1:10" ht="15.75" customHeight="1" x14ac:dyDescent="0.25">
      <c r="A261" s="15">
        <f>+'TLZK Tesis'!A261</f>
        <v>44414</v>
      </c>
      <c r="B261" s="15">
        <f>+'TLZK Tesis'!B261</f>
        <v>44428</v>
      </c>
      <c r="C261" s="15">
        <f>+'TLZK Tesis'!C261</f>
        <v>44441</v>
      </c>
      <c r="D261" s="41">
        <v>533414.04</v>
      </c>
      <c r="E261" s="41">
        <v>61945.020000703698</v>
      </c>
      <c r="F261" s="41">
        <v>5728.8682427500398</v>
      </c>
      <c r="G261" s="60"/>
      <c r="H261" s="60"/>
      <c r="J261" s="21"/>
    </row>
    <row r="262" spans="1:10" ht="15.75" customHeight="1" x14ac:dyDescent="0.25">
      <c r="A262" s="15">
        <f>+'TLZK Tesis'!A262</f>
        <v>44428</v>
      </c>
      <c r="B262" s="15">
        <f>+'TLZK Tesis'!B262</f>
        <v>44442</v>
      </c>
      <c r="C262" s="15">
        <f>+'TLZK Tesis'!C262</f>
        <v>44455</v>
      </c>
      <c r="D262" s="41">
        <v>530728.21100000001</v>
      </c>
      <c r="E262" s="41">
        <v>61397.775113557604</v>
      </c>
      <c r="F262" s="41">
        <v>5674.0662126235502</v>
      </c>
      <c r="G262" s="60"/>
      <c r="H262" s="60"/>
      <c r="J262" s="21"/>
    </row>
    <row r="263" spans="1:10" ht="15.75" customHeight="1" x14ac:dyDescent="0.25">
      <c r="A263" s="15">
        <f>+'TLZK Tesis'!A263</f>
        <v>44442</v>
      </c>
      <c r="B263" s="15">
        <f>+'TLZK Tesis'!B263</f>
        <v>44456</v>
      </c>
      <c r="C263" s="15">
        <f>+'TLZK Tesis'!C263</f>
        <v>44469</v>
      </c>
      <c r="D263" s="41">
        <v>525654.46100000001</v>
      </c>
      <c r="E263" s="41">
        <v>63088.126242421298</v>
      </c>
      <c r="F263" s="41">
        <v>5827.1854318381902</v>
      </c>
      <c r="G263" s="60"/>
      <c r="H263" s="60"/>
      <c r="J263" s="21"/>
    </row>
    <row r="264" spans="1:10" ht="15.75" customHeight="1" x14ac:dyDescent="0.25">
      <c r="A264" s="15">
        <f>+'TLZK Tesis'!A264</f>
        <v>44456</v>
      </c>
      <c r="B264" s="15">
        <f>+'TLZK Tesis'!B264</f>
        <v>44470</v>
      </c>
      <c r="C264" s="15">
        <f>+'TLZK Tesis'!C264</f>
        <v>44483</v>
      </c>
      <c r="D264" s="41">
        <v>579026.62099999993</v>
      </c>
      <c r="E264" s="41">
        <v>66310.822496623296</v>
      </c>
      <c r="F264" s="41">
        <v>5968.6243850153251</v>
      </c>
      <c r="G264" s="60"/>
      <c r="H264" s="60"/>
      <c r="J264" s="21"/>
    </row>
    <row r="265" spans="1:10" ht="15.75" customHeight="1" x14ac:dyDescent="0.25">
      <c r="A265" s="15">
        <f>+'TLZK Tesis'!A265</f>
        <v>44470</v>
      </c>
      <c r="B265" s="15">
        <f>+'TLZK Tesis'!B265</f>
        <v>44484</v>
      </c>
      <c r="C265" s="15">
        <f>+'TLZK Tesis'!C265</f>
        <v>44500</v>
      </c>
      <c r="D265" s="41">
        <v>597204.20600000001</v>
      </c>
      <c r="E265" s="41">
        <v>65101.053405980703</v>
      </c>
      <c r="F265" s="41">
        <v>5733.1338226513499</v>
      </c>
      <c r="G265" s="60"/>
      <c r="H265" s="60"/>
      <c r="J265" s="21"/>
    </row>
    <row r="266" spans="1:10" ht="15.75" customHeight="1" x14ac:dyDescent="0.25">
      <c r="A266" s="15">
        <f>+'TLZK Tesis'!A266</f>
        <v>44484</v>
      </c>
      <c r="B266" s="15">
        <f>+'TLZK Tesis'!B266</f>
        <v>44501</v>
      </c>
      <c r="C266" s="15">
        <f>+'TLZK Tesis'!C266</f>
        <v>44511</v>
      </c>
      <c r="D266" s="41">
        <v>618698.16</v>
      </c>
      <c r="E266" s="41">
        <v>65749.418502122164</v>
      </c>
      <c r="F266" s="41">
        <v>5706.9016672860726</v>
      </c>
      <c r="G266" s="60"/>
      <c r="H266" s="60"/>
      <c r="J266" s="21"/>
    </row>
    <row r="267" spans="1:10" ht="15.75" customHeight="1" x14ac:dyDescent="0.25">
      <c r="A267" s="15">
        <v>44497</v>
      </c>
      <c r="B267" s="15">
        <v>44512</v>
      </c>
      <c r="C267" s="15">
        <v>44525</v>
      </c>
      <c r="D267" s="41">
        <v>685723.28500000003</v>
      </c>
      <c r="E267" s="41">
        <v>71457.377999746881</v>
      </c>
      <c r="F267" s="41">
        <v>3770.8129917593096</v>
      </c>
      <c r="G267" s="60"/>
      <c r="H267" s="60"/>
      <c r="J267" s="21"/>
    </row>
    <row r="268" spans="1:10" ht="15.75" customHeight="1" x14ac:dyDescent="0.25">
      <c r="A268" s="15">
        <f>+'TLZK Tesis'!A268</f>
        <v>44512</v>
      </c>
      <c r="B268" s="15">
        <f>+'TLZK Tesis'!B268</f>
        <v>44526</v>
      </c>
      <c r="C268" s="15">
        <f>+'TLZK Tesis'!C268</f>
        <v>44539</v>
      </c>
      <c r="D268" s="41">
        <v>721920.32799999998</v>
      </c>
      <c r="E268" s="41">
        <v>70844.3757007159</v>
      </c>
      <c r="F268" s="41">
        <v>3811.9503112188199</v>
      </c>
      <c r="G268" s="60"/>
      <c r="H268" s="60"/>
      <c r="J268" s="21"/>
    </row>
    <row r="269" spans="1:10" ht="15.75" customHeight="1" x14ac:dyDescent="0.25">
      <c r="A269" s="15">
        <f>+'TLZK Tesis'!A269</f>
        <v>44526</v>
      </c>
      <c r="B269" s="15">
        <f>+'TLZK Tesis'!B269</f>
        <v>44540</v>
      </c>
      <c r="C269" s="15">
        <f>+'TLZK Tesis'!C269</f>
        <v>44553</v>
      </c>
      <c r="D269" s="41">
        <v>860808.04299999995</v>
      </c>
      <c r="E269" s="41">
        <v>71655.883074807716</v>
      </c>
      <c r="F269" s="41">
        <v>3804.6773527974001</v>
      </c>
      <c r="G269" s="60"/>
      <c r="H269" s="60"/>
      <c r="J269" s="21"/>
    </row>
    <row r="270" spans="1:10" ht="15.75" customHeight="1" x14ac:dyDescent="0.25">
      <c r="A270" s="15">
        <f>+'TLZK Tesis'!A270</f>
        <v>44540</v>
      </c>
      <c r="B270" s="15">
        <f>+'TLZK Tesis'!B270</f>
        <v>44554</v>
      </c>
      <c r="C270" s="15">
        <f>+'TLZK Tesis'!C270</f>
        <v>44567</v>
      </c>
      <c r="D270" s="41">
        <v>984842.78700000001</v>
      </c>
      <c r="E270" s="41">
        <v>70916.681370932536</v>
      </c>
      <c r="F270" s="41">
        <v>4996.1302040829296</v>
      </c>
      <c r="G270" s="60"/>
      <c r="H270" s="60"/>
      <c r="J270" s="21"/>
    </row>
    <row r="271" spans="1:10" ht="15.75" customHeight="1" x14ac:dyDescent="0.25">
      <c r="A271" s="15">
        <f>+'TLZK Tesis'!A271</f>
        <v>44554</v>
      </c>
      <c r="B271" s="15">
        <f>+'TLZK Tesis'!B271</f>
        <v>44568</v>
      </c>
      <c r="C271" s="15">
        <f>+'TLZK Tesis'!C271</f>
        <v>44581</v>
      </c>
      <c r="D271" s="41">
        <v>844184.38699999999</v>
      </c>
      <c r="E271" s="41">
        <v>72179.657866262627</v>
      </c>
      <c r="F271" s="41">
        <v>5396.737889406545</v>
      </c>
      <c r="G271" s="60"/>
      <c r="H271" s="60"/>
      <c r="J271" s="21"/>
    </row>
    <row r="272" spans="1:10" ht="15.75" customHeight="1" x14ac:dyDescent="0.25">
      <c r="A272" s="15">
        <f>+'TLZK Tesis'!A272</f>
        <v>44568</v>
      </c>
      <c r="B272" s="15">
        <f>+'TLZK Tesis'!B272</f>
        <v>44582</v>
      </c>
      <c r="C272" s="15">
        <f>+'TLZK Tesis'!C272</f>
        <v>44595</v>
      </c>
      <c r="D272" s="41">
        <v>986618.86499999999</v>
      </c>
      <c r="E272" s="41">
        <v>70703.907566959097</v>
      </c>
      <c r="F272" s="41">
        <v>5366.5637791171102</v>
      </c>
      <c r="G272" s="60"/>
      <c r="H272" s="60"/>
      <c r="J272" s="21"/>
    </row>
    <row r="273" spans="1:10" ht="15.75" customHeight="1" x14ac:dyDescent="0.25">
      <c r="A273" s="15">
        <f>+'TLZK Tesis'!A273</f>
        <v>44582</v>
      </c>
      <c r="B273" s="15">
        <f>+'TLZK Tesis'!B273</f>
        <v>44596</v>
      </c>
      <c r="C273" s="15">
        <f>+'TLZK Tesis'!C273</f>
        <v>44609</v>
      </c>
      <c r="D273" s="41">
        <v>967096.08400000003</v>
      </c>
      <c r="E273" s="41">
        <v>69280.593522848139</v>
      </c>
      <c r="F273" s="41">
        <v>5344.7239078117636</v>
      </c>
      <c r="G273" s="60"/>
      <c r="H273" s="60"/>
      <c r="J273" s="21"/>
    </row>
    <row r="274" spans="1:10" ht="15.75" customHeight="1" x14ac:dyDescent="0.25">
      <c r="A274" s="15">
        <f>+'TLZK Tesis'!A274</f>
        <v>44596</v>
      </c>
      <c r="B274" s="15">
        <f>+'TLZK Tesis'!B274</f>
        <v>44610</v>
      </c>
      <c r="C274" s="15">
        <f>+'TLZK Tesis'!C274</f>
        <v>44623</v>
      </c>
      <c r="D274" s="41">
        <v>946558.58499999996</v>
      </c>
      <c r="E274" s="41">
        <v>66984.250183484211</v>
      </c>
      <c r="F274" s="41">
        <v>5174.3904446740416</v>
      </c>
      <c r="G274" s="60"/>
      <c r="H274" s="60"/>
      <c r="J274" s="21"/>
    </row>
    <row r="275" spans="1:10" ht="15.75" customHeight="1" x14ac:dyDescent="0.25">
      <c r="A275" s="15">
        <f>+'TLZK Tesis'!A275</f>
        <v>44610</v>
      </c>
      <c r="B275" s="15">
        <f>+'TLZK Tesis'!B275</f>
        <v>44624</v>
      </c>
      <c r="C275" s="15">
        <f>+'TLZK Tesis'!C275</f>
        <v>44637</v>
      </c>
      <c r="D275" s="41">
        <v>924873.28700000001</v>
      </c>
      <c r="E275" s="41">
        <v>66714.662168118506</v>
      </c>
      <c r="F275" s="41">
        <v>5646.8888817221105</v>
      </c>
      <c r="G275" s="60"/>
      <c r="H275" s="60"/>
      <c r="J275" s="21"/>
    </row>
    <row r="276" spans="1:10" ht="15.75" customHeight="1" x14ac:dyDescent="0.25">
      <c r="A276" s="15">
        <f>+'TLZK Tesis'!A276</f>
        <v>44624</v>
      </c>
      <c r="B276" s="15">
        <f>+'TLZK Tesis'!B276</f>
        <v>44638</v>
      </c>
      <c r="C276" s="15">
        <f>+'TLZK Tesis'!C276</f>
        <v>44651</v>
      </c>
      <c r="D276" s="41">
        <v>952593.12300000002</v>
      </c>
      <c r="E276" s="41">
        <v>66391.209883290794</v>
      </c>
      <c r="F276" s="41">
        <v>5840.7342972263177</v>
      </c>
      <c r="G276" s="60"/>
      <c r="H276" s="60"/>
      <c r="J276" s="21"/>
    </row>
    <row r="277" spans="1:10" ht="15.75" customHeight="1" x14ac:dyDescent="0.25">
      <c r="A277" s="15">
        <f>+'TLZK Tesis'!A277</f>
        <v>44638</v>
      </c>
      <c r="B277" s="15">
        <f>+'TLZK Tesis'!B277</f>
        <v>44652</v>
      </c>
      <c r="C277" s="15">
        <f>+'TLZK Tesis'!C277</f>
        <v>44665</v>
      </c>
      <c r="D277" s="41">
        <v>997896.93200000003</v>
      </c>
      <c r="E277" s="41">
        <v>67151.893587598926</v>
      </c>
      <c r="F277" s="41">
        <v>5679.2155986918533</v>
      </c>
      <c r="G277" s="60"/>
      <c r="H277" s="60"/>
      <c r="J277" s="21"/>
    </row>
    <row r="278" spans="1:10" ht="15.75" customHeight="1" x14ac:dyDescent="0.25">
      <c r="A278" s="15">
        <f>+'TLZK Tesis'!A278</f>
        <v>44652</v>
      </c>
      <c r="B278" s="15">
        <f>+'TLZK Tesis'!B278</f>
        <v>44666</v>
      </c>
      <c r="C278" s="15">
        <f>+'TLZK Tesis'!C278</f>
        <v>44679</v>
      </c>
      <c r="D278" s="41">
        <v>997078.88</v>
      </c>
      <c r="E278" s="41">
        <v>67622.059056643702</v>
      </c>
      <c r="F278" s="41">
        <v>5645.7765619302527</v>
      </c>
      <c r="G278" s="60"/>
      <c r="H278" s="60"/>
      <c r="J278" s="21"/>
    </row>
    <row r="279" spans="1:10" ht="15.75" customHeight="1" x14ac:dyDescent="0.25">
      <c r="A279" s="15">
        <f>+'TLZK Tesis'!A279</f>
        <v>44666</v>
      </c>
      <c r="B279" s="15">
        <f>+'TLZK Tesis'!B279</f>
        <v>44680</v>
      </c>
      <c r="C279" s="15">
        <f>+'TLZK Tesis'!C279</f>
        <v>44693</v>
      </c>
      <c r="D279" s="41">
        <v>994052.48300000001</v>
      </c>
      <c r="E279" s="41">
        <v>67105.946808398396</v>
      </c>
      <c r="F279" s="41">
        <v>5708.5493412235801</v>
      </c>
      <c r="G279" s="60"/>
      <c r="H279" s="60"/>
      <c r="J279" s="21"/>
    </row>
    <row r="280" spans="1:10" ht="15.75" customHeight="1" x14ac:dyDescent="0.25">
      <c r="A280" s="15">
        <f>+'TLZK Tesis'!A280</f>
        <v>44680</v>
      </c>
      <c r="B280" s="15">
        <f>+'TLZK Tesis'!B280</f>
        <v>44694</v>
      </c>
      <c r="C280" s="15">
        <f>+'TLZK Tesis'!C280</f>
        <v>44707</v>
      </c>
      <c r="D280" s="41">
        <v>995181.80500000005</v>
      </c>
      <c r="E280" s="41">
        <v>65546.000207648307</v>
      </c>
      <c r="F280" s="41">
        <v>5604.5611528899171</v>
      </c>
      <c r="G280" s="60"/>
      <c r="H280" s="60"/>
      <c r="J280" s="21"/>
    </row>
    <row r="281" spans="1:10" ht="15.75" customHeight="1" x14ac:dyDescent="0.25">
      <c r="A281" s="15">
        <f>+'TLZK Tesis'!A281</f>
        <v>44694</v>
      </c>
      <c r="B281" s="15">
        <f>+'TLZK Tesis'!B281</f>
        <v>44708</v>
      </c>
      <c r="C281" s="15">
        <f>+'TLZK Tesis'!C281</f>
        <v>44721</v>
      </c>
      <c r="D281" s="41">
        <v>1036143.1990000001</v>
      </c>
      <c r="E281" s="41">
        <v>65763.79081308702</v>
      </c>
      <c r="F281" s="41">
        <v>5342.9098561652681</v>
      </c>
      <c r="G281" s="60"/>
      <c r="H281" s="60"/>
      <c r="J281" s="21"/>
    </row>
    <row r="282" spans="1:10" ht="15.75" customHeight="1" x14ac:dyDescent="0.25">
      <c r="A282" s="15">
        <f>+'TLZK Tesis'!A282</f>
        <v>44708</v>
      </c>
      <c r="B282" s="15">
        <f>+'TLZK Tesis'!B282</f>
        <v>44722</v>
      </c>
      <c r="C282" s="15">
        <f>+'TLZK Tesis'!C282</f>
        <v>44735</v>
      </c>
      <c r="D282" s="41">
        <v>1163161.0190000001</v>
      </c>
      <c r="E282" s="41">
        <v>69069.6430739059</v>
      </c>
      <c r="F282" s="41">
        <v>5625.8560135773896</v>
      </c>
      <c r="G282" s="60"/>
      <c r="H282" s="60"/>
      <c r="J282" s="21"/>
    </row>
    <row r="283" spans="1:10" ht="15.75" customHeight="1" x14ac:dyDescent="0.25">
      <c r="A283" s="15">
        <f>+'TLZK Tesis'!A283</f>
        <v>44722</v>
      </c>
      <c r="B283" s="15">
        <f>+'TLZK Tesis'!B283</f>
        <v>44736</v>
      </c>
      <c r="C283" s="15">
        <f>+'TLZK Tesis'!C283</f>
        <v>44749</v>
      </c>
      <c r="D283" s="41">
        <v>1218850.219</v>
      </c>
      <c r="E283" s="41">
        <v>69505.866462598497</v>
      </c>
      <c r="F283" s="41">
        <v>5639.6783767426796</v>
      </c>
      <c r="G283" s="60"/>
      <c r="H283" s="60"/>
      <c r="J283" s="21"/>
    </row>
    <row r="284" spans="1:10" ht="15.75" customHeight="1" x14ac:dyDescent="0.25">
      <c r="A284" s="15">
        <f>+'TLZK Tesis'!A284</f>
        <v>44736</v>
      </c>
      <c r="B284" s="15">
        <f>+'TLZK Tesis'!B284</f>
        <v>44750</v>
      </c>
      <c r="C284" s="15">
        <f>+'TLZK Tesis'!C284</f>
        <v>44763</v>
      </c>
      <c r="D284" s="41">
        <v>1226784.8970000001</v>
      </c>
      <c r="E284" s="41">
        <v>69172.13030564363</v>
      </c>
      <c r="F284" s="41">
        <v>5551.0667909209951</v>
      </c>
      <c r="G284" s="60"/>
      <c r="H284" s="60"/>
      <c r="J284" s="21"/>
    </row>
    <row r="285" spans="1:10" ht="15.75" customHeight="1" x14ac:dyDescent="0.25">
      <c r="A285" s="15">
        <f>+'TLZK Tesis'!A285</f>
        <v>44750</v>
      </c>
      <c r="B285" s="15">
        <f>+'TLZK Tesis'!B285</f>
        <v>44764</v>
      </c>
      <c r="C285" s="15">
        <f>+'TLZK Tesis'!C285</f>
        <v>44777</v>
      </c>
      <c r="D285" s="41">
        <v>1188326.838</v>
      </c>
      <c r="E285" s="41">
        <v>67091.243164871586</v>
      </c>
      <c r="F285" s="41">
        <v>5322.7418119598096</v>
      </c>
      <c r="G285" s="60"/>
      <c r="H285" s="60"/>
      <c r="J285" s="21"/>
    </row>
    <row r="286" spans="1:10" ht="15.75" customHeight="1" x14ac:dyDescent="0.25">
      <c r="A286" s="15">
        <f>+'TLZK Tesis'!A286</f>
        <v>44764</v>
      </c>
      <c r="B286" s="15">
        <f>+'TLZK Tesis'!B286</f>
        <v>44778</v>
      </c>
      <c r="C286" s="15">
        <f>+'TLZK Tesis'!C286</f>
        <v>44791</v>
      </c>
      <c r="D286" s="41">
        <v>1205840.1580000001</v>
      </c>
      <c r="E286" s="41">
        <v>67641.954080847703</v>
      </c>
      <c r="F286" s="41">
        <v>5236.5546469628471</v>
      </c>
      <c r="G286" s="60"/>
      <c r="H286" s="60"/>
      <c r="J286" s="21"/>
    </row>
    <row r="287" spans="1:10" ht="15.75" customHeight="1" x14ac:dyDescent="0.25">
      <c r="A287" s="15">
        <f>+'TLZK Tesis'!A287</f>
        <v>44778</v>
      </c>
      <c r="B287" s="15">
        <f>+'TLZK Tesis'!B287</f>
        <v>44792</v>
      </c>
      <c r="C287" s="15">
        <f>+'TLZK Tesis'!C287</f>
        <v>44805</v>
      </c>
      <c r="D287" s="41">
        <v>1244302.4469999999</v>
      </c>
      <c r="E287" s="41">
        <v>66644.976944521899</v>
      </c>
      <c r="F287" s="41">
        <v>5407.0032128234197</v>
      </c>
      <c r="G287" s="60"/>
      <c r="H287" s="60"/>
      <c r="J287" s="21"/>
    </row>
    <row r="288" spans="1:10" ht="15.75" customHeight="1" x14ac:dyDescent="0.25">
      <c r="A288" s="15">
        <f>+'TLZK Tesis'!A288</f>
        <v>44792</v>
      </c>
      <c r="B288" s="15">
        <f>+'TLZK Tesis'!B288</f>
        <v>44806</v>
      </c>
      <c r="C288" s="15">
        <f>+'TLZK Tesis'!C288</f>
        <v>44819</v>
      </c>
      <c r="D288" s="41">
        <v>1220443.1780000001</v>
      </c>
      <c r="E288" s="41">
        <v>66452.93621326967</v>
      </c>
      <c r="F288" s="41">
        <v>5281.8230556827284</v>
      </c>
      <c r="G288" s="60"/>
      <c r="H288" s="60"/>
      <c r="J288" s="21"/>
    </row>
    <row r="289" spans="1:10" ht="15.75" customHeight="1" x14ac:dyDescent="0.25">
      <c r="A289" s="15">
        <f>+'TLZK Tesis'!A289</f>
        <v>44806</v>
      </c>
      <c r="B289" s="15">
        <f>+'TLZK Tesis'!B289</f>
        <v>44820</v>
      </c>
      <c r="C289" s="15">
        <f>+'TLZK Tesis'!C289</f>
        <v>44833</v>
      </c>
      <c r="D289" s="41">
        <v>1288055.6229999999</v>
      </c>
      <c r="E289" s="41">
        <v>67580.296740298698</v>
      </c>
      <c r="F289" s="41">
        <v>5669.8184795794796</v>
      </c>
      <c r="G289" s="60"/>
      <c r="H289" s="60"/>
      <c r="J289" s="21"/>
    </row>
    <row r="290" spans="1:10" ht="15.75" customHeight="1" x14ac:dyDescent="0.25">
      <c r="A290" s="15">
        <f>+'TLZK Tesis'!A290</f>
        <v>44820</v>
      </c>
      <c r="B290" s="15">
        <f>+'TLZK Tesis'!B290</f>
        <v>44834</v>
      </c>
      <c r="C290" s="15">
        <f>+'TLZK Tesis'!C290</f>
        <v>44847</v>
      </c>
      <c r="D290" s="41">
        <v>1264929.916</v>
      </c>
      <c r="E290" s="41">
        <v>66492.209632291269</v>
      </c>
      <c r="F290" s="41">
        <v>5362.1935594920942</v>
      </c>
      <c r="G290" s="60"/>
      <c r="H290" s="60"/>
      <c r="J290" s="21"/>
    </row>
    <row r="291" spans="1:10" ht="15.75" customHeight="1" x14ac:dyDescent="0.25">
      <c r="A291" s="15">
        <f>+'TLZK Tesis'!A291</f>
        <v>44834</v>
      </c>
      <c r="B291" s="15">
        <f>+'TLZK Tesis'!B291</f>
        <v>44848</v>
      </c>
      <c r="C291" s="15">
        <f>+'TLZK Tesis'!C291</f>
        <v>44861</v>
      </c>
      <c r="D291" s="41">
        <v>1260979.946</v>
      </c>
      <c r="E291" s="41">
        <v>66105.496092694477</v>
      </c>
      <c r="F291" s="41">
        <v>5300.7057260494712</v>
      </c>
      <c r="G291" s="60"/>
      <c r="H291" s="60"/>
      <c r="J291" s="21"/>
    </row>
    <row r="292" spans="1:10" ht="15.75" customHeight="1" x14ac:dyDescent="0.25">
      <c r="A292" s="15">
        <f>+'TLZK Tesis'!A292</f>
        <v>44848</v>
      </c>
      <c r="B292" s="15">
        <f>+'TLZK Tesis'!B292</f>
        <v>44862</v>
      </c>
      <c r="C292" s="15">
        <f>+'TLZK Tesis'!C292</f>
        <v>44875</v>
      </c>
      <c r="D292" s="41">
        <v>1270082.5900000001</v>
      </c>
      <c r="E292" s="41">
        <v>64778.745764424501</v>
      </c>
      <c r="F292" s="41">
        <v>5231.0121120644299</v>
      </c>
      <c r="G292" s="60"/>
      <c r="H292" s="60"/>
      <c r="J292" s="21"/>
    </row>
    <row r="293" spans="1:10" ht="15.75" customHeight="1" x14ac:dyDescent="0.25">
      <c r="A293" s="15">
        <f>+'TLZK Tesis'!A293</f>
        <v>44862</v>
      </c>
      <c r="B293" s="15">
        <f>+'TLZK Tesis'!B293</f>
        <v>44876</v>
      </c>
      <c r="C293" s="15">
        <f>+'TLZK Tesis'!C293</f>
        <v>44889</v>
      </c>
      <c r="D293" s="41">
        <v>1256257.385</v>
      </c>
      <c r="E293" s="41">
        <v>63441.496416774302</v>
      </c>
      <c r="F293" s="41">
        <v>5308.6907255071501</v>
      </c>
      <c r="G293" s="60"/>
      <c r="H293" s="60"/>
      <c r="J293" s="21"/>
    </row>
    <row r="294" spans="1:10" ht="15.75" customHeight="1" x14ac:dyDescent="0.25">
      <c r="A294" s="15">
        <f>+'TLZK Tesis'!A294</f>
        <v>44876</v>
      </c>
      <c r="B294" s="15">
        <f>+'TLZK Tesis'!B294</f>
        <v>44890</v>
      </c>
      <c r="C294" s="15">
        <f>+'TLZK Tesis'!C294</f>
        <v>44903</v>
      </c>
      <c r="D294" s="41">
        <v>1242925.398</v>
      </c>
      <c r="E294" s="41">
        <v>62320.842613607616</v>
      </c>
      <c r="F294" s="41">
        <v>5467.0547164121554</v>
      </c>
      <c r="G294" s="60"/>
      <c r="H294" s="60"/>
      <c r="J294" s="21"/>
    </row>
    <row r="295" spans="1:10" ht="15.75" customHeight="1" x14ac:dyDescent="0.25">
      <c r="A295" s="15">
        <f>+'TLZK Tesis'!A295</f>
        <v>44890</v>
      </c>
      <c r="B295" s="15">
        <f>+'TLZK Tesis'!B295</f>
        <v>44904</v>
      </c>
      <c r="C295" s="15">
        <f>+'TLZK Tesis'!C295</f>
        <v>44917</v>
      </c>
      <c r="D295" s="41">
        <v>1231326.8</v>
      </c>
      <c r="E295" s="41">
        <v>62034.927694643768</v>
      </c>
      <c r="F295" s="41">
        <v>5382.295534516612</v>
      </c>
      <c r="G295" s="60"/>
      <c r="H295" s="60"/>
      <c r="J295" s="21"/>
    </row>
    <row r="296" spans="1:10" ht="15.75" customHeight="1" x14ac:dyDescent="0.25">
      <c r="A296" s="15">
        <f>+'TLZK Tesis'!A296</f>
        <v>44904</v>
      </c>
      <c r="B296" s="15">
        <f>+'TLZK Tesis'!B296</f>
        <v>44918</v>
      </c>
      <c r="C296" s="15">
        <f>+'TLZK Tesis'!C296</f>
        <v>44931</v>
      </c>
      <c r="D296" s="41">
        <v>1221252.284</v>
      </c>
      <c r="E296" s="41">
        <v>61540.7218201738</v>
      </c>
      <c r="F296" s="41">
        <v>5472.5991646856701</v>
      </c>
      <c r="G296" s="60"/>
      <c r="H296" s="60"/>
      <c r="J296" s="21"/>
    </row>
    <row r="297" spans="1:10" ht="15.75" customHeight="1" x14ac:dyDescent="0.25">
      <c r="A297" s="15">
        <f>+'TLZK Tesis'!A297</f>
        <v>44918</v>
      </c>
      <c r="B297" s="15">
        <f>+'TLZK Tesis'!B297</f>
        <v>44932</v>
      </c>
      <c r="C297" s="15">
        <f>+'TLZK Tesis'!C297</f>
        <v>44945</v>
      </c>
      <c r="D297" s="41">
        <v>1200153.2120000001</v>
      </c>
      <c r="E297" s="41">
        <v>60912.204084397497</v>
      </c>
      <c r="F297" s="41">
        <v>5346.27014198701</v>
      </c>
      <c r="G297" s="60"/>
      <c r="H297" s="60"/>
      <c r="J297" s="21"/>
    </row>
    <row r="298" spans="1:10" ht="15.75" customHeight="1" x14ac:dyDescent="0.25">
      <c r="A298" s="15">
        <f>+'TLZK Tesis'!A298</f>
        <v>44932</v>
      </c>
      <c r="B298" s="15">
        <f>+'TLZK Tesis'!B298</f>
        <v>44946</v>
      </c>
      <c r="C298" s="15">
        <f>+'TLZK Tesis'!C298</f>
        <v>44959</v>
      </c>
      <c r="D298" s="41">
        <v>1210867.6059999999</v>
      </c>
      <c r="E298" s="41">
        <v>63488.732059267699</v>
      </c>
      <c r="F298" s="41">
        <v>6165.47255280842</v>
      </c>
      <c r="G298" s="60"/>
      <c r="H298" s="60"/>
      <c r="J298" s="21"/>
    </row>
    <row r="299" spans="1:10" ht="15.75" customHeight="1" x14ac:dyDescent="0.25">
      <c r="A299" s="15">
        <f>+'TLZK Tesis'!A299</f>
        <v>44946</v>
      </c>
      <c r="B299" s="15">
        <f>+'TLZK Tesis'!B299</f>
        <v>44960</v>
      </c>
      <c r="C299" s="15">
        <f>+'TLZK Tesis'!C299</f>
        <v>44973</v>
      </c>
      <c r="D299" s="41">
        <v>1224370.6680000001</v>
      </c>
      <c r="E299" s="41">
        <v>64986.350038350502</v>
      </c>
      <c r="F299" s="41">
        <v>6630.5567537768102</v>
      </c>
      <c r="G299" s="60"/>
      <c r="H299" s="60"/>
      <c r="J299" s="21"/>
    </row>
    <row r="300" spans="1:10" ht="15.75" customHeight="1" x14ac:dyDescent="0.25">
      <c r="A300" s="15">
        <f>+'TLZK Tesis'!A300</f>
        <v>44960</v>
      </c>
      <c r="B300" s="15">
        <f>+'TLZK Tesis'!B300</f>
        <v>44974</v>
      </c>
      <c r="C300" s="15">
        <f>+'TLZK Tesis'!C300</f>
        <v>44987</v>
      </c>
      <c r="D300" s="41">
        <v>1216817.2279999999</v>
      </c>
      <c r="E300" s="41">
        <v>64344.196710073302</v>
      </c>
      <c r="F300" s="41">
        <v>6615.8576685135804</v>
      </c>
      <c r="G300" s="60"/>
      <c r="H300" s="60"/>
      <c r="J300" s="21"/>
    </row>
    <row r="301" spans="1:10" ht="15.75" customHeight="1" x14ac:dyDescent="0.25">
      <c r="A301" s="15">
        <f>+'TLZK Tesis'!A301</f>
        <v>44974</v>
      </c>
      <c r="B301" s="15">
        <f>+'TLZK Tesis'!B301</f>
        <v>44988</v>
      </c>
      <c r="C301" s="15">
        <f>+'TLZK Tesis'!C301</f>
        <v>45001</v>
      </c>
      <c r="D301" s="41">
        <v>1184088.827</v>
      </c>
      <c r="E301" s="41">
        <v>63990.924956457202</v>
      </c>
      <c r="F301" s="41">
        <v>6223.6618692252296</v>
      </c>
      <c r="G301" s="60"/>
      <c r="H301" s="60"/>
      <c r="J301" s="21"/>
    </row>
    <row r="302" spans="1:10" ht="15.75" customHeight="1" x14ac:dyDescent="0.25">
      <c r="A302" s="15">
        <f>+'TLZK Tesis'!A302</f>
        <v>44988</v>
      </c>
      <c r="B302" s="15">
        <f>+'TLZK Tesis'!B302</f>
        <v>45002</v>
      </c>
      <c r="C302" s="15">
        <f>+'TLZK Tesis'!C302</f>
        <v>45015</v>
      </c>
      <c r="D302" s="41">
        <v>1161484.841</v>
      </c>
      <c r="E302" s="41">
        <v>62798.130541050501</v>
      </c>
      <c r="F302" s="41">
        <v>6228.1182810371802</v>
      </c>
      <c r="G302" s="60"/>
      <c r="H302" s="60"/>
      <c r="J302" s="21"/>
    </row>
    <row r="303" spans="1:10" ht="15.75" customHeight="1" x14ac:dyDescent="0.25">
      <c r="A303" s="15">
        <f>+'TLZK Tesis'!A303</f>
        <v>45002</v>
      </c>
      <c r="B303" s="15">
        <f>+'TLZK Tesis'!B303</f>
        <v>45016</v>
      </c>
      <c r="C303" s="15">
        <f>+'TLZK Tesis'!C303</f>
        <v>45029</v>
      </c>
      <c r="D303" s="41">
        <v>1168168.581</v>
      </c>
      <c r="E303" s="41">
        <v>61890.602797961597</v>
      </c>
      <c r="F303" s="41">
        <v>6529.3553376953996</v>
      </c>
      <c r="G303" s="60"/>
      <c r="H303" s="60"/>
      <c r="J303" s="21"/>
    </row>
    <row r="304" spans="1:10" ht="15.75" customHeight="1" x14ac:dyDescent="0.25">
      <c r="A304" s="15">
        <f>+'TLZK Tesis'!A304</f>
        <v>45016</v>
      </c>
      <c r="B304" s="15">
        <f>+'TLZK Tesis'!B304</f>
        <v>45030</v>
      </c>
      <c r="C304" s="15">
        <f>+'TLZK Tesis'!C304</f>
        <v>45043</v>
      </c>
      <c r="D304" s="41">
        <v>1169455.3060000001</v>
      </c>
      <c r="E304" s="41">
        <v>65337.2033577248</v>
      </c>
      <c r="F304" s="41">
        <v>6621.6709382339805</v>
      </c>
      <c r="G304" s="60"/>
      <c r="H304" s="60"/>
      <c r="J304" s="21"/>
    </row>
    <row r="305" spans="1:10" ht="15.75" customHeight="1" x14ac:dyDescent="0.25">
      <c r="A305" s="15">
        <f>+'TLZK Tesis'!A305</f>
        <v>45030</v>
      </c>
      <c r="B305" s="15">
        <f>+'TLZK Tesis'!B305</f>
        <v>45044</v>
      </c>
      <c r="C305" s="15">
        <f>+'TLZK Tesis'!C305</f>
        <v>45057</v>
      </c>
      <c r="D305" s="41">
        <v>1201498.98</v>
      </c>
      <c r="E305" s="41">
        <v>63285.845357694103</v>
      </c>
      <c r="F305" s="41">
        <v>6783.5922497849333</v>
      </c>
      <c r="G305" s="60"/>
      <c r="H305" s="60"/>
      <c r="J305" s="21"/>
    </row>
    <row r="306" spans="1:10" s="50" customFormat="1" ht="15.75" customHeight="1" x14ac:dyDescent="0.25">
      <c r="A306" s="15">
        <f>+'TLZK Tesis'!A306</f>
        <v>45044</v>
      </c>
      <c r="B306" s="15">
        <f>+'TLZK Tesis'!B306</f>
        <v>45058</v>
      </c>
      <c r="C306" s="15">
        <f>+'TLZK Tesis'!C306</f>
        <v>45071</v>
      </c>
      <c r="D306" s="41">
        <v>1237118.402</v>
      </c>
      <c r="E306" s="41">
        <v>61262.752582288784</v>
      </c>
      <c r="F306" s="41">
        <v>7269.0976712115298</v>
      </c>
      <c r="G306" s="60"/>
      <c r="H306" s="60"/>
      <c r="J306" s="21"/>
    </row>
    <row r="307" spans="1:10" s="50" customFormat="1" ht="15.75" customHeight="1" x14ac:dyDescent="0.25">
      <c r="A307" s="15">
        <f>+'TLZK Tesis'!A307</f>
        <v>45058</v>
      </c>
      <c r="B307" s="15">
        <f>+'TLZK Tesis'!B307</f>
        <v>45072</v>
      </c>
      <c r="C307" s="15">
        <f>+'TLZK Tesis'!C307</f>
        <v>45085</v>
      </c>
      <c r="D307" s="41">
        <v>1239323.51</v>
      </c>
      <c r="E307" s="41">
        <v>59633.5742850928</v>
      </c>
      <c r="F307" s="41">
        <v>7737.63800239989</v>
      </c>
      <c r="G307" s="60"/>
      <c r="H307" s="60"/>
      <c r="J307" s="21"/>
    </row>
    <row r="308" spans="1:10" s="50" customFormat="1" ht="15.75" customHeight="1" x14ac:dyDescent="0.25">
      <c r="A308" s="15">
        <f>+'TLZK Tesis'!A308</f>
        <v>45072</v>
      </c>
      <c r="B308" s="15">
        <f>+'TLZK Tesis'!B308</f>
        <v>45086</v>
      </c>
      <c r="C308" s="15">
        <f>+'TLZK Tesis'!C308</f>
        <v>45099</v>
      </c>
      <c r="D308" s="41">
        <v>1207309.419</v>
      </c>
      <c r="E308" s="41">
        <v>57771.320160732001</v>
      </c>
      <c r="F308" s="41">
        <v>6960.2911030714104</v>
      </c>
      <c r="G308" s="60"/>
      <c r="H308" s="60"/>
      <c r="J308" s="21"/>
    </row>
    <row r="309" spans="1:10" s="50" customFormat="1" ht="15.75" customHeight="1" x14ac:dyDescent="0.25">
      <c r="A309" s="15">
        <f>+'TLZK Tesis'!A309</f>
        <v>45086</v>
      </c>
      <c r="B309" s="15">
        <f>+'TLZK Tesis'!B309</f>
        <v>45100</v>
      </c>
      <c r="C309" s="15">
        <f>+'TLZK Tesis'!C309</f>
        <v>45113</v>
      </c>
      <c r="D309" s="41">
        <v>1423679.7679999999</v>
      </c>
      <c r="E309" s="41">
        <v>56351.767611486503</v>
      </c>
      <c r="F309" s="41">
        <v>6941.5054768070604</v>
      </c>
      <c r="G309" s="60"/>
      <c r="H309" s="60"/>
      <c r="J309" s="21"/>
    </row>
    <row r="310" spans="1:10" s="50" customFormat="1" ht="15.75" customHeight="1" x14ac:dyDescent="0.25">
      <c r="A310" s="15">
        <f>+'TLZK Tesis'!A310</f>
        <v>45100</v>
      </c>
      <c r="B310" s="15">
        <f>+'TLZK Tesis'!B310</f>
        <v>45114</v>
      </c>
      <c r="C310" s="15">
        <f>+'TLZK Tesis'!C310</f>
        <v>45127</v>
      </c>
      <c r="D310" s="41">
        <v>1402446.379</v>
      </c>
      <c r="E310" s="41">
        <v>56549.972407942798</v>
      </c>
      <c r="F310" s="41">
        <v>7265.6413880884902</v>
      </c>
      <c r="G310" s="60"/>
      <c r="H310" s="60"/>
      <c r="J310" s="21"/>
    </row>
    <row r="311" spans="1:10" s="50" customFormat="1" ht="15.75" customHeight="1" x14ac:dyDescent="0.25">
      <c r="A311" s="15">
        <f>+'TLZK Tesis'!A311</f>
        <v>45114</v>
      </c>
      <c r="B311" s="15">
        <f>+'TLZK Tesis'!B311</f>
        <v>45128</v>
      </c>
      <c r="C311" s="15">
        <f>+'TLZK Tesis'!C311</f>
        <v>45141</v>
      </c>
      <c r="D311" s="41">
        <v>1539824.2069999999</v>
      </c>
      <c r="E311" s="41">
        <v>58480.938136739198</v>
      </c>
      <c r="F311" s="41">
        <v>7119.1269836818701</v>
      </c>
      <c r="G311" s="60"/>
      <c r="H311" s="60"/>
      <c r="J311" s="21"/>
    </row>
    <row r="312" spans="1:10" s="50" customFormat="1" ht="15.6" customHeight="1" x14ac:dyDescent="0.25">
      <c r="A312" s="15">
        <f>+'TLZK Tesis'!A312</f>
        <v>45128</v>
      </c>
      <c r="B312" s="15">
        <f>+'TLZK Tesis'!B312</f>
        <v>45142</v>
      </c>
      <c r="C312" s="15">
        <f>+'TLZK Tesis'!C312</f>
        <v>45155</v>
      </c>
      <c r="D312" s="41">
        <v>1618829.61</v>
      </c>
      <c r="E312" s="41">
        <v>60277.391562864897</v>
      </c>
      <c r="F312" s="41">
        <v>7332.7668877496599</v>
      </c>
      <c r="G312" s="60"/>
      <c r="H312" s="60"/>
      <c r="J312" s="21"/>
    </row>
    <row r="313" spans="1:10" s="50" customFormat="1" ht="15.6" customHeight="1" x14ac:dyDescent="0.25">
      <c r="A313" s="15">
        <f>+'TLZK Tesis'!A313</f>
        <v>45142</v>
      </c>
      <c r="B313" s="15">
        <f>+'TLZK Tesis'!B313</f>
        <v>45156</v>
      </c>
      <c r="C313" s="15">
        <f>+'TLZK Tesis'!C313</f>
        <v>45169</v>
      </c>
      <c r="D313" s="41">
        <v>1600094.28</v>
      </c>
      <c r="E313" s="41">
        <v>60342.421579195397</v>
      </c>
      <c r="F313" s="41">
        <v>7166.0235805557704</v>
      </c>
      <c r="G313" s="60"/>
      <c r="H313" s="60"/>
      <c r="J313" s="21"/>
    </row>
    <row r="314" spans="1:10" s="50" customFormat="1" ht="15.6" customHeight="1" x14ac:dyDescent="0.25">
      <c r="A314" s="15">
        <f>+'TLZK Tesis'!A314</f>
        <v>45156</v>
      </c>
      <c r="B314" s="15">
        <f>+'TLZK Tesis'!B314</f>
        <v>45170</v>
      </c>
      <c r="C314" s="15">
        <f>+'TLZK Tesis'!C314</f>
        <v>45183</v>
      </c>
      <c r="D314" s="41">
        <v>1713918.4240000001</v>
      </c>
      <c r="E314" s="41">
        <v>63284.222138347403</v>
      </c>
      <c r="F314" s="41">
        <v>6924.84212413347</v>
      </c>
      <c r="G314" s="60"/>
      <c r="H314" s="60"/>
      <c r="J314" s="21"/>
    </row>
    <row r="315" spans="1:10" s="50" customFormat="1" ht="15.6" customHeight="1" x14ac:dyDescent="0.25">
      <c r="A315" s="15">
        <f>+'TLZK Tesis'!A315</f>
        <v>45170</v>
      </c>
      <c r="B315" s="15">
        <f>+'TLZK Tesis'!B315</f>
        <v>45184</v>
      </c>
      <c r="C315" s="15">
        <f>+'TLZK Tesis'!C315</f>
        <v>45197</v>
      </c>
      <c r="D315" s="41">
        <v>1726405.23</v>
      </c>
      <c r="E315" s="41">
        <v>61975.751008782798</v>
      </c>
      <c r="F315" s="41">
        <v>7235.6653743031702</v>
      </c>
      <c r="G315" s="60"/>
      <c r="H315" s="60"/>
      <c r="J315" s="21"/>
    </row>
    <row r="316" spans="1:10" s="50" customFormat="1" ht="15.6" customHeight="1" x14ac:dyDescent="0.25">
      <c r="A316" s="15">
        <f>+'TLZK Tesis'!A316</f>
        <v>45184</v>
      </c>
      <c r="B316" s="15">
        <f>+'TLZK Tesis'!B316</f>
        <v>45198</v>
      </c>
      <c r="C316" s="15">
        <f>+'TLZK Tesis'!C316</f>
        <v>45211</v>
      </c>
      <c r="D316" s="41">
        <v>1723742.2720000001</v>
      </c>
      <c r="E316" s="41">
        <v>61611.7446127945</v>
      </c>
      <c r="F316" s="41">
        <v>7008.0175072557504</v>
      </c>
      <c r="G316" s="60"/>
      <c r="H316" s="60"/>
      <c r="J316" s="21"/>
    </row>
    <row r="317" spans="1:10" s="50" customFormat="1" ht="15.6" customHeight="1" x14ac:dyDescent="0.25">
      <c r="A317" s="15">
        <f>+'TLZK Tesis'!A317</f>
        <v>45198</v>
      </c>
      <c r="B317" s="15">
        <f>+'TLZK Tesis'!B317</f>
        <v>45212</v>
      </c>
      <c r="C317" s="15">
        <f>+'TLZK Tesis'!C317</f>
        <v>45225</v>
      </c>
      <c r="D317" s="41">
        <v>1711979.101</v>
      </c>
      <c r="E317" s="41">
        <v>61675.425498845703</v>
      </c>
      <c r="F317" s="41">
        <v>6820.4852108018786</v>
      </c>
      <c r="G317" s="60"/>
      <c r="H317" s="60"/>
      <c r="J317" s="21"/>
    </row>
    <row r="318" spans="1:10" s="50" customFormat="1" ht="15.6" customHeight="1" x14ac:dyDescent="0.25">
      <c r="A318" s="15">
        <f>+'TLZK Tesis'!A318</f>
        <v>45212</v>
      </c>
      <c r="B318" s="15">
        <f>+'TLZK Tesis'!B318</f>
        <v>45226</v>
      </c>
      <c r="C318" s="15">
        <f>+'TLZK Tesis'!C318</f>
        <v>45239</v>
      </c>
      <c r="D318" s="41">
        <v>1753148.0079999999</v>
      </c>
      <c r="E318" s="41">
        <v>60426.063445937398</v>
      </c>
      <c r="F318" s="41">
        <v>6962.9397460122909</v>
      </c>
      <c r="G318" s="60"/>
      <c r="H318" s="60"/>
      <c r="J318" s="21"/>
    </row>
    <row r="319" spans="1:10" s="50" customFormat="1" ht="15.6" customHeight="1" x14ac:dyDescent="0.25">
      <c r="A319" s="15">
        <f>+'TLZK Tesis'!A319</f>
        <v>45226</v>
      </c>
      <c r="B319" s="15">
        <f>+'TLZK Tesis'!B319</f>
        <v>45240</v>
      </c>
      <c r="C319" s="15">
        <f>+'TLZK Tesis'!C319</f>
        <v>45253</v>
      </c>
      <c r="D319" s="41">
        <v>1831741.4909999999</v>
      </c>
      <c r="E319" s="41">
        <v>60977.121579640298</v>
      </c>
      <c r="F319" s="41">
        <v>7173.3073846351399</v>
      </c>
      <c r="G319" s="62">
        <v>184523.14300000001</v>
      </c>
      <c r="H319" s="62">
        <v>184432.747107929</v>
      </c>
      <c r="J319" s="21"/>
    </row>
    <row r="320" spans="1:10" s="50" customFormat="1" ht="15.6" customHeight="1" x14ac:dyDescent="0.25">
      <c r="A320" s="15">
        <f>+'TLZK Tesis'!A320</f>
        <v>45240</v>
      </c>
      <c r="B320" s="15">
        <f>+'TLZK Tesis'!B320</f>
        <v>45254</v>
      </c>
      <c r="C320" s="15">
        <f>+'TLZK Tesis'!C320</f>
        <v>45267</v>
      </c>
      <c r="D320" s="41">
        <v>1859792.6140000001</v>
      </c>
      <c r="E320" s="41">
        <v>60622.3558099656</v>
      </c>
      <c r="F320" s="41">
        <v>6923.7182140138702</v>
      </c>
      <c r="G320" s="62">
        <v>187242.22700000001</v>
      </c>
      <c r="H320" s="62">
        <v>187243.60694500001</v>
      </c>
      <c r="J320" s="21"/>
    </row>
    <row r="321" spans="1:11" s="50" customFormat="1" ht="15.6" customHeight="1" x14ac:dyDescent="0.25">
      <c r="A321" s="15">
        <f>+'TLZK Tesis'!A321</f>
        <v>45254</v>
      </c>
      <c r="B321" s="15">
        <f>+'TLZK Tesis'!B321</f>
        <v>45268</v>
      </c>
      <c r="C321" s="15">
        <f>+'TLZK Tesis'!C321</f>
        <v>45281</v>
      </c>
      <c r="D321" s="41">
        <v>1878815.939</v>
      </c>
      <c r="E321" s="41">
        <v>61169.446100296802</v>
      </c>
      <c r="F321" s="41">
        <v>6963.9861002184698</v>
      </c>
      <c r="G321" s="62">
        <v>188783.23300000001</v>
      </c>
      <c r="H321" s="62">
        <v>188784.91334599999</v>
      </c>
      <c r="I321"/>
      <c r="J321"/>
      <c r="K321"/>
    </row>
    <row r="322" spans="1:11" s="50" customFormat="1" ht="15.6" customHeight="1" x14ac:dyDescent="0.25">
      <c r="A322" s="15">
        <f>+'TLZK Tesis'!A322</f>
        <v>45268</v>
      </c>
      <c r="B322" s="15">
        <f>+'TLZK Tesis'!B322</f>
        <v>45282</v>
      </c>
      <c r="C322" s="15">
        <f>+'TLZK Tesis'!C322</f>
        <v>45295</v>
      </c>
      <c r="D322" s="41">
        <v>1877784.7919999999</v>
      </c>
      <c r="E322" s="41">
        <v>62321.9384821985</v>
      </c>
      <c r="F322" s="41">
        <v>7093.6469899204203</v>
      </c>
      <c r="G322" s="62">
        <v>187671.1</v>
      </c>
      <c r="H322" s="62">
        <v>187817.71251471399</v>
      </c>
      <c r="I322"/>
      <c r="J322"/>
      <c r="K322"/>
    </row>
    <row r="323" spans="1:11" s="50" customFormat="1" ht="15.6" customHeight="1" x14ac:dyDescent="0.25">
      <c r="A323" s="15">
        <f>+'TLZK Tesis'!A323</f>
        <v>45282</v>
      </c>
      <c r="B323" s="15">
        <f>+'TLZK Tesis'!B323</f>
        <v>45296</v>
      </c>
      <c r="C323" s="15">
        <f>+'TLZK Tesis'!C323</f>
        <v>45309</v>
      </c>
      <c r="D323" s="41">
        <v>1923303.1740000001</v>
      </c>
      <c r="E323" s="41">
        <v>64901.563666761802</v>
      </c>
      <c r="F323" s="41">
        <v>7367.5272405972901</v>
      </c>
      <c r="G323" s="62">
        <v>190847.44099999999</v>
      </c>
      <c r="H323" s="62">
        <v>190825.82913200001</v>
      </c>
      <c r="I323"/>
      <c r="J323"/>
      <c r="K323"/>
    </row>
    <row r="324" spans="1:11" s="50" customFormat="1" x14ac:dyDescent="0.25">
      <c r="A324" s="15">
        <f>+'TLZK Tesis'!A324</f>
        <v>45296</v>
      </c>
      <c r="B324" s="15">
        <f>+'TLZK Tesis'!B324</f>
        <v>45310</v>
      </c>
      <c r="C324" s="15">
        <f>+'TLZK Tesis'!C324</f>
        <v>45323</v>
      </c>
      <c r="D324" s="41">
        <v>1956906.298</v>
      </c>
      <c r="E324" s="41">
        <v>65189.733311458702</v>
      </c>
      <c r="F324" s="41">
        <v>7160.2368576781901</v>
      </c>
      <c r="G324" s="62">
        <v>194932.36600000001</v>
      </c>
      <c r="H324" s="62">
        <v>194934.544555</v>
      </c>
      <c r="I324"/>
      <c r="J324"/>
      <c r="K324"/>
    </row>
    <row r="325" spans="1:11" s="50" customFormat="1" x14ac:dyDescent="0.25">
      <c r="A325" s="15">
        <v>45310</v>
      </c>
      <c r="B325" s="15">
        <v>45324</v>
      </c>
      <c r="C325" s="15">
        <v>45337</v>
      </c>
      <c r="D325" s="41">
        <v>1985739.07</v>
      </c>
      <c r="E325" s="41">
        <v>65104.04833633043</v>
      </c>
      <c r="F325" s="41">
        <v>7255.5568723640072</v>
      </c>
      <c r="G325" s="62">
        <v>397266.63</v>
      </c>
      <c r="H325" s="62">
        <v>397269.35836199997</v>
      </c>
      <c r="I325"/>
      <c r="J325"/>
      <c r="K325"/>
    </row>
    <row r="326" spans="1:11" s="50" customFormat="1" x14ac:dyDescent="0.25">
      <c r="A326" s="15">
        <f>+'TLZK Tesis'!A326</f>
        <v>45324</v>
      </c>
      <c r="B326" s="15">
        <f>+'TLZK Tesis'!B326</f>
        <v>45338</v>
      </c>
      <c r="C326" s="15">
        <f>+'TLZK Tesis'!C326</f>
        <v>45351</v>
      </c>
      <c r="D326" s="41">
        <v>1999495.514</v>
      </c>
      <c r="E326" s="41">
        <v>64501.947339760998</v>
      </c>
      <c r="F326" s="41">
        <v>7431.6405902870401</v>
      </c>
      <c r="G326" s="62">
        <v>398043.07299999997</v>
      </c>
      <c r="H326" s="62">
        <v>398045.59950342902</v>
      </c>
      <c r="I326"/>
      <c r="J326"/>
      <c r="K326"/>
    </row>
    <row r="327" spans="1:11" s="50" customFormat="1" x14ac:dyDescent="0.25">
      <c r="A327" s="15">
        <v>45338</v>
      </c>
      <c r="B327" s="15">
        <v>45352</v>
      </c>
      <c r="C327" s="15">
        <v>45365</v>
      </c>
      <c r="D327" s="41">
        <v>2019269.9680000001</v>
      </c>
      <c r="E327" s="41">
        <v>65421.591248338598</v>
      </c>
      <c r="F327" s="41">
        <v>7458.6058638501199</v>
      </c>
      <c r="G327" s="62">
        <v>393155.75300000003</v>
      </c>
      <c r="H327" s="62">
        <v>393231.29223100003</v>
      </c>
      <c r="I327"/>
      <c r="J327"/>
      <c r="K327"/>
    </row>
    <row r="328" spans="1:11" s="50" customFormat="1" x14ac:dyDescent="0.25">
      <c r="A328" s="15">
        <f>+'TLZK Tesis'!A328</f>
        <v>45352</v>
      </c>
      <c r="B328" s="15">
        <f>+'TLZK Tesis'!B328</f>
        <v>45366</v>
      </c>
      <c r="C328" s="15">
        <f>+'TLZK Tesis'!C328</f>
        <v>45379</v>
      </c>
      <c r="D328" s="41">
        <v>2062636.0090000001</v>
      </c>
      <c r="E328" s="41">
        <v>64317.536251793201</v>
      </c>
      <c r="F328" s="41">
        <v>7517.3058521927296</v>
      </c>
      <c r="G328" s="62">
        <v>400632.52500000002</v>
      </c>
      <c r="H328" s="62">
        <v>400666.09958099999</v>
      </c>
      <c r="I328"/>
      <c r="J328"/>
      <c r="K328"/>
    </row>
    <row r="329" spans="1:11" s="50" customFormat="1" x14ac:dyDescent="0.25">
      <c r="A329" s="15">
        <f>+'TLZK Tesis'!A329</f>
        <v>45366</v>
      </c>
      <c r="B329" s="15">
        <f>+'TLZK Tesis'!B329</f>
        <v>45380</v>
      </c>
      <c r="C329" s="15">
        <f>+'TLZK Tesis'!C329</f>
        <v>45393</v>
      </c>
      <c r="D329" s="41">
        <v>2205552.111</v>
      </c>
      <c r="E329" s="41">
        <v>65534.182951479699</v>
      </c>
      <c r="F329" s="41">
        <v>8638.4127994511691</v>
      </c>
      <c r="G329" s="62">
        <v>425768.81300000002</v>
      </c>
      <c r="H329" s="62">
        <v>425939.54967211798</v>
      </c>
      <c r="I329"/>
      <c r="J329"/>
      <c r="K329"/>
    </row>
    <row r="330" spans="1:11" s="50" customFormat="1" x14ac:dyDescent="0.25">
      <c r="A330" s="15">
        <f>+'TLZK Tesis'!A330</f>
        <v>45380</v>
      </c>
      <c r="B330" s="15">
        <f>+'TLZK Tesis'!B330</f>
        <v>45394</v>
      </c>
      <c r="C330" s="15">
        <f>+'TLZK Tesis'!C330</f>
        <v>45407</v>
      </c>
      <c r="D330" s="41">
        <v>2237380.8679999998</v>
      </c>
      <c r="E330" s="41">
        <v>66655.979301417305</v>
      </c>
      <c r="F330" s="41">
        <v>8899.6130737114308</v>
      </c>
      <c r="G330" s="62">
        <v>429306.29700000002</v>
      </c>
      <c r="H330" s="62">
        <v>429301.19783427299</v>
      </c>
      <c r="I330"/>
      <c r="J330"/>
      <c r="K330"/>
    </row>
    <row r="331" spans="1:11" s="50" customFormat="1" x14ac:dyDescent="0.25">
      <c r="A331" s="15">
        <f>+'TLZK Tesis'!A331</f>
        <v>45391</v>
      </c>
      <c r="B331" s="15">
        <f>+'TLZK Tesis'!B331</f>
        <v>45408</v>
      </c>
      <c r="C331" s="15">
        <f>+'TLZK Tesis'!C331</f>
        <v>45421</v>
      </c>
      <c r="D331" s="41">
        <v>2192021.4249999998</v>
      </c>
      <c r="E331" s="41">
        <v>63734.282245016497</v>
      </c>
      <c r="F331" s="41">
        <v>8972.5865232685992</v>
      </c>
      <c r="G331" s="62">
        <v>415628.01299999998</v>
      </c>
      <c r="H331" s="62">
        <v>415661.62449800002</v>
      </c>
      <c r="I331"/>
      <c r="J331"/>
      <c r="K331"/>
    </row>
    <row r="332" spans="1:11" s="50" customFormat="1" x14ac:dyDescent="0.25">
      <c r="A332" s="15">
        <f>+'TLZK Tesis'!A332</f>
        <v>45408</v>
      </c>
      <c r="B332" s="15">
        <f>+'TLZK Tesis'!B332</f>
        <v>45422</v>
      </c>
      <c r="C332" s="15">
        <f>+'TLZK Tesis'!C332</f>
        <v>45435</v>
      </c>
      <c r="D332" s="41">
        <v>2203838.6630000002</v>
      </c>
      <c r="E332" s="41">
        <v>61877.388772028702</v>
      </c>
      <c r="F332" s="41">
        <v>9168.4980496057597</v>
      </c>
      <c r="G332" s="62">
        <v>414558.772</v>
      </c>
      <c r="H332" s="62">
        <v>414592.347098</v>
      </c>
      <c r="I332"/>
      <c r="J332"/>
      <c r="K332"/>
    </row>
    <row r="333" spans="1:11" s="50" customFormat="1" x14ac:dyDescent="0.25">
      <c r="A333" s="15">
        <f>+'TLZK Tesis'!A333</f>
        <v>45422</v>
      </c>
      <c r="B333" s="15">
        <f>+'TLZK Tesis'!B333</f>
        <v>45436</v>
      </c>
      <c r="C333" s="15">
        <f>+'TLZK Tesis'!C333</f>
        <v>45449</v>
      </c>
      <c r="D333" s="41">
        <v>2109959.145</v>
      </c>
      <c r="E333" s="41">
        <v>59048.391603350203</v>
      </c>
      <c r="F333" s="41">
        <v>9089.2776891433296</v>
      </c>
      <c r="G333" s="62">
        <v>392464.78200000001</v>
      </c>
      <c r="H333" s="62">
        <v>392498.360338</v>
      </c>
      <c r="I333"/>
      <c r="J333"/>
      <c r="K333"/>
    </row>
    <row r="334" spans="1:11" s="50" customFormat="1" x14ac:dyDescent="0.25">
      <c r="A334" s="15">
        <f>+'TLZK Tesis'!A334</f>
        <v>45436</v>
      </c>
      <c r="B334" s="15">
        <f>+'TLZK Tesis'!B334</f>
        <v>45450</v>
      </c>
      <c r="C334" s="15">
        <f>+'TLZK Tesis'!C334</f>
        <v>45463</v>
      </c>
      <c r="D334" s="41">
        <v>2085310.034</v>
      </c>
      <c r="E334" s="41">
        <v>59620.119025514803</v>
      </c>
      <c r="F334" s="41">
        <v>8910.9551722688593</v>
      </c>
      <c r="G334" s="62">
        <v>387888.98599999998</v>
      </c>
      <c r="H334" s="62">
        <v>387922.568058</v>
      </c>
      <c r="I334"/>
      <c r="J334"/>
      <c r="K334"/>
    </row>
    <row r="335" spans="1:11" s="50" customFormat="1" x14ac:dyDescent="0.25">
      <c r="A335" s="15">
        <f>+'TLZK Tesis'!A335</f>
        <v>45450</v>
      </c>
      <c r="B335" s="15">
        <f>+'TLZK Tesis'!B335</f>
        <v>45464</v>
      </c>
      <c r="C335" s="15">
        <f>+'TLZK Tesis'!C335</f>
        <v>45477</v>
      </c>
      <c r="D335" s="41">
        <v>2038785.6710000001</v>
      </c>
      <c r="E335" s="41">
        <v>63329.5164773211</v>
      </c>
      <c r="F335" s="41">
        <v>8900.6412992302394</v>
      </c>
      <c r="G335" s="62">
        <v>377393.96799999999</v>
      </c>
      <c r="H335" s="62">
        <v>377427.559458</v>
      </c>
      <c r="I335"/>
      <c r="J335"/>
      <c r="K335"/>
    </row>
    <row r="336" spans="1:11" s="50" customFormat="1" x14ac:dyDescent="0.25">
      <c r="A336" s="15">
        <f>+'TLZK Tesis'!A336</f>
        <v>45464</v>
      </c>
      <c r="B336" s="15">
        <f>+'TLZK Tesis'!B336</f>
        <v>45478</v>
      </c>
      <c r="C336" s="15">
        <f>+'TLZK Tesis'!C336</f>
        <v>45491</v>
      </c>
      <c r="D336" s="41">
        <v>2044557.899</v>
      </c>
      <c r="E336" s="41">
        <v>62727.460974330003</v>
      </c>
      <c r="F336" s="41">
        <v>8900.8275314941293</v>
      </c>
      <c r="G336" s="62">
        <v>380562.48100000003</v>
      </c>
      <c r="H336" s="62">
        <v>380596.068378</v>
      </c>
      <c r="I336"/>
      <c r="J336"/>
      <c r="K336"/>
    </row>
    <row r="337" spans="1:11" s="50" customFormat="1" x14ac:dyDescent="0.25">
      <c r="A337" s="15">
        <f>+'TLZK Tesis'!A337</f>
        <v>45478</v>
      </c>
      <c r="B337" s="15">
        <f>+'TLZK Tesis'!B337</f>
        <v>45492</v>
      </c>
      <c r="C337" s="15">
        <f>+'TLZK Tesis'!C337</f>
        <v>45505</v>
      </c>
      <c r="D337" s="41">
        <v>2007358.7420000001</v>
      </c>
      <c r="E337" s="41">
        <v>62278.616857152498</v>
      </c>
      <c r="F337" s="41">
        <v>8912.3728265684003</v>
      </c>
      <c r="G337" s="62">
        <v>372303.85700000002</v>
      </c>
      <c r="H337" s="62">
        <v>372444.581035143</v>
      </c>
      <c r="I337"/>
      <c r="J337"/>
      <c r="K337"/>
    </row>
    <row r="338" spans="1:11" s="50" customFormat="1" x14ac:dyDescent="0.25">
      <c r="A338" s="15">
        <f>+'TLZK Tesis'!A338</f>
        <v>45492</v>
      </c>
      <c r="B338" s="15">
        <f>+'TLZK Tesis'!B338</f>
        <v>45506</v>
      </c>
      <c r="C338" s="15">
        <f>+'TLZK Tesis'!C338</f>
        <v>45519</v>
      </c>
      <c r="D338" s="41">
        <v>2069080.513</v>
      </c>
      <c r="E338" s="41">
        <v>63877.399540027</v>
      </c>
      <c r="F338" s="41">
        <v>8952.8544462074697</v>
      </c>
      <c r="G338" s="62">
        <v>385556.63500000001</v>
      </c>
      <c r="H338" s="62">
        <v>385592.831098</v>
      </c>
      <c r="I338"/>
      <c r="J338"/>
      <c r="K338"/>
    </row>
    <row r="339" spans="1:11" s="50" customFormat="1" x14ac:dyDescent="0.25">
      <c r="A339" s="15">
        <f>+'TLZK Tesis'!A339</f>
        <v>45506</v>
      </c>
      <c r="B339" s="15">
        <f>+'TLZK Tesis'!B339</f>
        <v>45520</v>
      </c>
      <c r="C339" s="15">
        <f>+'TLZK Tesis'!C339</f>
        <v>45533</v>
      </c>
      <c r="D339" s="41">
        <v>2070922.9380000001</v>
      </c>
      <c r="E339" s="41">
        <v>65589.958737144101</v>
      </c>
      <c r="F339" s="41">
        <v>9249.5774460294397</v>
      </c>
      <c r="G339" s="62">
        <v>383495.174</v>
      </c>
      <c r="H339" s="62">
        <v>383581.38277800003</v>
      </c>
      <c r="I339"/>
      <c r="J339"/>
      <c r="K339"/>
    </row>
    <row r="340" spans="1:11" s="50" customFormat="1" x14ac:dyDescent="0.25">
      <c r="A340" s="15">
        <f>+'TLZK Tesis'!A340</f>
        <v>45520</v>
      </c>
      <c r="B340" s="15">
        <f>+'TLZK Tesis'!B340</f>
        <v>45537</v>
      </c>
      <c r="C340" s="15">
        <f>+'TLZK Tesis'!C340</f>
        <v>45547</v>
      </c>
      <c r="D340" s="41">
        <v>2142212.0759999999</v>
      </c>
      <c r="E340" s="41">
        <v>67004.674186349206</v>
      </c>
      <c r="F340" s="41">
        <v>9330.6328015564104</v>
      </c>
      <c r="G340" s="62">
        <v>399585.24699999997</v>
      </c>
      <c r="H340" s="62">
        <v>399624.31383345497</v>
      </c>
      <c r="I340"/>
      <c r="J340"/>
      <c r="K340"/>
    </row>
    <row r="341" spans="1:11" s="50" customFormat="1" x14ac:dyDescent="0.25">
      <c r="A341" s="15">
        <f>+'TLZK Tesis'!A341</f>
        <v>45533</v>
      </c>
      <c r="B341" s="15">
        <f>+'TLZK Tesis'!B341</f>
        <v>45548</v>
      </c>
      <c r="C341" s="15">
        <f>+'TLZK Tesis'!C341</f>
        <v>45561</v>
      </c>
      <c r="D341" s="41">
        <v>2205655.3530000001</v>
      </c>
      <c r="E341" s="41">
        <v>65067.165052204502</v>
      </c>
      <c r="F341" s="41">
        <v>9711.8476037725595</v>
      </c>
      <c r="G341" s="62">
        <v>410217.77299999999</v>
      </c>
      <c r="H341" s="62">
        <v>410259.038</v>
      </c>
      <c r="I341"/>
      <c r="J341"/>
      <c r="K341"/>
    </row>
    <row r="342" spans="1:11" s="50" customFormat="1" x14ac:dyDescent="0.25">
      <c r="A342" s="15">
        <f>+'TLZK Tesis'!A342</f>
        <v>45548</v>
      </c>
      <c r="B342" s="15">
        <f>+'TLZK Tesis'!B342</f>
        <v>45562</v>
      </c>
      <c r="C342" s="15">
        <f>+'TLZK Tesis'!C342</f>
        <v>45575</v>
      </c>
      <c r="D342" s="41">
        <v>2185029.844</v>
      </c>
      <c r="E342" s="41">
        <v>62855.528354376598</v>
      </c>
      <c r="F342" s="41">
        <v>9792.7009391113097</v>
      </c>
      <c r="G342" s="62">
        <v>249369.84299999999</v>
      </c>
      <c r="H342" s="62">
        <v>249403.416608</v>
      </c>
      <c r="I342"/>
      <c r="J342"/>
      <c r="K342"/>
    </row>
    <row r="343" spans="1:11" s="50" customFormat="1" x14ac:dyDescent="0.25">
      <c r="A343" s="15">
        <f>+'TLZK Tesis'!A343</f>
        <v>45562</v>
      </c>
      <c r="B343" s="15">
        <f>+'TLZK Tesis'!B343</f>
        <v>45576</v>
      </c>
      <c r="C343" s="15">
        <f>+'TLZK Tesis'!C343</f>
        <v>45589</v>
      </c>
      <c r="D343" s="41">
        <v>2224089.7220000001</v>
      </c>
      <c r="E343" s="41">
        <v>62184.756294760497</v>
      </c>
      <c r="F343" s="41">
        <v>10539.648704655399</v>
      </c>
      <c r="G343" s="62">
        <v>248278.44100000002</v>
      </c>
      <c r="H343" s="62">
        <v>248312.02370800002</v>
      </c>
      <c r="I343"/>
      <c r="J343"/>
      <c r="K343"/>
    </row>
    <row r="344" spans="1:11" s="50" customFormat="1" x14ac:dyDescent="0.25">
      <c r="A344" s="15">
        <f>+'TLZK Tesis'!A344</f>
        <v>45576</v>
      </c>
      <c r="B344" s="15">
        <f>+'TLZK Tesis'!B344</f>
        <v>45590</v>
      </c>
      <c r="C344" s="15">
        <f>+'TLZK Tesis'!C344</f>
        <v>45603</v>
      </c>
      <c r="D344" s="41">
        <v>2179516.3990000002</v>
      </c>
      <c r="E344" s="41">
        <v>61829.955324283597</v>
      </c>
      <c r="F344" s="41">
        <v>10520.7215564097</v>
      </c>
      <c r="G344" s="62">
        <v>241654.141</v>
      </c>
      <c r="H344" s="62">
        <v>241687.712608</v>
      </c>
      <c r="I344"/>
      <c r="J344"/>
      <c r="K344"/>
    </row>
    <row r="345" spans="1:11" s="50" customFormat="1" x14ac:dyDescent="0.25">
      <c r="A345" s="15">
        <f>+'TLZK Tesis'!A345</f>
        <v>45590</v>
      </c>
      <c r="B345" s="15">
        <f>+'TLZK Tesis'!B345</f>
        <v>45604</v>
      </c>
      <c r="C345" s="15">
        <f>+'TLZK Tesis'!C345</f>
        <v>45617</v>
      </c>
      <c r="D345" s="41">
        <v>2193885.2859999998</v>
      </c>
      <c r="E345" s="41">
        <v>60214.985634714103</v>
      </c>
      <c r="F345" s="41">
        <v>10953.3934101921</v>
      </c>
      <c r="G345" s="62">
        <v>240322.106</v>
      </c>
      <c r="H345" s="62">
        <v>240355.68175799999</v>
      </c>
      <c r="I345"/>
      <c r="J345"/>
      <c r="K345"/>
    </row>
    <row r="346" spans="1:11" s="50" customFormat="1" x14ac:dyDescent="0.25">
      <c r="A346" s="15">
        <f>+'TLZK Tesis'!A346</f>
        <v>45604</v>
      </c>
      <c r="B346" s="15">
        <f>+'TLZK Tesis'!B346</f>
        <v>45618</v>
      </c>
      <c r="C346" s="15">
        <f>+'TLZK Tesis'!C346</f>
        <v>45631</v>
      </c>
      <c r="D346" s="41">
        <v>2173707.389</v>
      </c>
      <c r="E346" s="41">
        <v>58159.406418376399</v>
      </c>
      <c r="F346" s="41">
        <v>10727.3460437987</v>
      </c>
      <c r="G346" s="62">
        <v>238361.75</v>
      </c>
      <c r="H346" s="62">
        <v>238387.149508</v>
      </c>
      <c r="I346"/>
      <c r="J346"/>
      <c r="K346"/>
    </row>
    <row r="347" spans="1:11" s="50" customFormat="1" x14ac:dyDescent="0.25">
      <c r="A347" s="15">
        <f>+'TLZK Tesis'!A347</f>
        <v>45618</v>
      </c>
      <c r="B347" s="15">
        <f>+'TLZK Tesis'!B347</f>
        <v>45632</v>
      </c>
      <c r="C347" s="15">
        <f>+'TLZK Tesis'!C347</f>
        <v>45645</v>
      </c>
      <c r="D347" s="41">
        <v>2178474.5869999998</v>
      </c>
      <c r="E347" s="41">
        <v>59205.012890259699</v>
      </c>
      <c r="F347" s="41">
        <v>11073.1377068684</v>
      </c>
      <c r="G347" s="62">
        <v>188961.03700000001</v>
      </c>
      <c r="H347" s="62">
        <v>188997.15042942902</v>
      </c>
      <c r="I347"/>
      <c r="J347"/>
      <c r="K347"/>
    </row>
    <row r="348" spans="1:11" s="50" customFormat="1" x14ac:dyDescent="0.25">
      <c r="A348" s="15">
        <f>+'TLZK Tesis'!A348</f>
        <v>45632</v>
      </c>
      <c r="B348" s="15">
        <f>+'TLZK Tesis'!B348</f>
        <v>45646</v>
      </c>
      <c r="C348" s="15">
        <f>+'TLZK Tesis'!C348</f>
        <v>45659</v>
      </c>
      <c r="D348" s="41">
        <v>2140430.2510000002</v>
      </c>
      <c r="E348" s="41">
        <v>58021.4181760504</v>
      </c>
      <c r="F348" s="41">
        <v>10477.8641181576</v>
      </c>
      <c r="G348" s="62">
        <v>186434.45800000001</v>
      </c>
      <c r="H348" s="62">
        <v>186468.03035800002</v>
      </c>
      <c r="I348"/>
      <c r="J348"/>
      <c r="K348"/>
    </row>
    <row r="349" spans="1:11" s="50" customFormat="1" x14ac:dyDescent="0.25">
      <c r="A349" s="15">
        <f>+'TLZK Tesis'!A349</f>
        <v>45646</v>
      </c>
      <c r="B349" s="15">
        <f>+'TLZK Tesis'!B349</f>
        <v>45660</v>
      </c>
      <c r="C349" s="15">
        <f>+'TLZK Tesis'!C349</f>
        <v>45673</v>
      </c>
      <c r="D349" s="41">
        <v>2169685.5649999999</v>
      </c>
      <c r="E349" s="41">
        <v>55695.168392393498</v>
      </c>
      <c r="F349" s="41">
        <v>10435.849816473699</v>
      </c>
      <c r="G349" s="62">
        <v>188487.636</v>
      </c>
      <c r="H349" s="62">
        <v>188521.20685800002</v>
      </c>
      <c r="I349"/>
      <c r="J349"/>
      <c r="K349"/>
    </row>
    <row r="350" spans="1:11" s="50" customFormat="1" x14ac:dyDescent="0.25">
      <c r="A350" s="15">
        <f>+'TLZK Tesis'!A350</f>
        <v>45660</v>
      </c>
      <c r="B350" s="15">
        <f>+'TLZK Tesis'!B350</f>
        <v>45674</v>
      </c>
      <c r="C350" s="15">
        <f>+'TLZK Tesis'!C350</f>
        <v>45687</v>
      </c>
      <c r="D350" s="41">
        <v>2207253.7570000002</v>
      </c>
      <c r="E350" s="41">
        <v>56792.838601914802</v>
      </c>
      <c r="F350" s="41">
        <v>10513.6537078288</v>
      </c>
      <c r="G350" s="62">
        <v>193024.07</v>
      </c>
      <c r="H350" s="62">
        <v>193064.09277799999</v>
      </c>
      <c r="I350"/>
      <c r="J350"/>
      <c r="K350"/>
    </row>
    <row r="351" spans="1:11" s="50" customFormat="1" x14ac:dyDescent="0.25">
      <c r="A351" s="15">
        <f>+'TLZK Tesis'!A351</f>
        <v>45674</v>
      </c>
      <c r="B351" s="15">
        <f>+'TLZK Tesis'!B351</f>
        <v>45688</v>
      </c>
      <c r="C351" s="15">
        <f>+'TLZK Tesis'!C351</f>
        <v>45701</v>
      </c>
      <c r="D351" s="41">
        <v>2213107.92</v>
      </c>
      <c r="E351" s="41">
        <v>56896.048933213599</v>
      </c>
      <c r="F351" s="41">
        <v>10555.166335137401</v>
      </c>
      <c r="G351" s="62">
        <v>193541.01500000001</v>
      </c>
      <c r="H351" s="62">
        <v>193583.49957800002</v>
      </c>
      <c r="I351"/>
      <c r="J351"/>
      <c r="K351"/>
    </row>
    <row r="352" spans="1:11" s="50" customFormat="1" x14ac:dyDescent="0.25">
      <c r="A352" s="15">
        <f>+'TLZK Tesis'!A352</f>
        <v>45688</v>
      </c>
      <c r="B352" s="15">
        <f>+'TLZK Tesis'!B352</f>
        <v>45702</v>
      </c>
      <c r="C352" s="15">
        <f>+'TLZK Tesis'!C352</f>
        <v>45715</v>
      </c>
      <c r="D352" s="41">
        <v>2250033.5290000001</v>
      </c>
      <c r="E352" s="41">
        <v>59048.134412418498</v>
      </c>
      <c r="F352" s="41">
        <v>10820.2726918927</v>
      </c>
      <c r="G352" s="62">
        <v>196887.158</v>
      </c>
      <c r="H352" s="62">
        <v>196936.47683699999</v>
      </c>
      <c r="I352"/>
      <c r="J352"/>
      <c r="K352"/>
    </row>
    <row r="353" spans="1:11" s="50" customFormat="1" x14ac:dyDescent="0.25">
      <c r="A353" s="15">
        <f>+'TLZK Tesis'!A353</f>
        <v>45702</v>
      </c>
      <c r="B353" s="15">
        <f>+'TLZK Tesis'!B353</f>
        <v>45716</v>
      </c>
      <c r="C353" s="15">
        <f>+'TLZK Tesis'!C353</f>
        <v>45729</v>
      </c>
      <c r="D353" s="41">
        <v>2323208.2050000001</v>
      </c>
      <c r="E353" s="41">
        <v>58570.015347678498</v>
      </c>
      <c r="F353" s="41">
        <v>11496.3831829262</v>
      </c>
      <c r="G353" s="62">
        <v>201396.31299999999</v>
      </c>
      <c r="H353" s="62">
        <v>201449.47945799999</v>
      </c>
      <c r="I353"/>
      <c r="J353"/>
      <c r="K353"/>
    </row>
    <row r="354" spans="1:11" s="50" customFormat="1" x14ac:dyDescent="0.25">
      <c r="A354" s="15">
        <f>+'TLZK Tesis'!A354</f>
        <v>45716</v>
      </c>
      <c r="B354" s="15">
        <f>+'TLZK Tesis'!B354</f>
        <v>45730</v>
      </c>
      <c r="C354" s="15">
        <f>+'TLZK Tesis'!C354</f>
        <v>45743</v>
      </c>
      <c r="D354" s="41">
        <v>2365637.2590000001</v>
      </c>
      <c r="E354" s="41">
        <v>60541.074338020997</v>
      </c>
      <c r="F354" s="41">
        <v>11427.378513040299</v>
      </c>
      <c r="G354" s="62">
        <v>206040.709</v>
      </c>
      <c r="H354" s="62">
        <v>206093.54801599999</v>
      </c>
      <c r="I354"/>
      <c r="J354"/>
      <c r="K354"/>
    </row>
    <row r="355" spans="1:11" s="50" customFormat="1" x14ac:dyDescent="0.25">
      <c r="A355" s="15">
        <f>+'TLZK Tesis'!A355</f>
        <v>45730</v>
      </c>
      <c r="B355" s="15">
        <f>+'TLZK Tesis'!B355</f>
        <v>45744</v>
      </c>
      <c r="C355" s="15">
        <f>+'TLZK Tesis'!C355</f>
        <v>45757</v>
      </c>
      <c r="D355" s="41">
        <v>2453826.6239999998</v>
      </c>
      <c r="E355" s="41">
        <v>63257.948770208</v>
      </c>
      <c r="F355" s="41">
        <v>12003.2855270361</v>
      </c>
      <c r="G355" s="62">
        <v>213550.16500000001</v>
      </c>
      <c r="H355" s="62">
        <v>213600.40585800001</v>
      </c>
      <c r="I355"/>
      <c r="J355"/>
      <c r="K355"/>
    </row>
    <row r="356" spans="1:11" s="50" customFormat="1" x14ac:dyDescent="0.25">
      <c r="A356" s="15">
        <f>+'TLZK Tesis'!A356</f>
        <v>45744</v>
      </c>
      <c r="B356" s="15">
        <f>+'TLZK Tesis'!B356</f>
        <v>45758</v>
      </c>
      <c r="C356" s="15">
        <f>+'TLZK Tesis'!C356</f>
        <v>45771</v>
      </c>
      <c r="D356" s="41">
        <v>2640168.2609999999</v>
      </c>
      <c r="E356" s="41">
        <v>66072.673607532401</v>
      </c>
      <c r="F356" s="41">
        <v>12386.6500345488</v>
      </c>
      <c r="G356" s="62">
        <v>231786.42</v>
      </c>
      <c r="H356" s="62">
        <v>231836.634765</v>
      </c>
      <c r="I356"/>
      <c r="J356"/>
      <c r="K356"/>
    </row>
    <row r="357" spans="1:11" s="50" customFormat="1" ht="15" customHeight="1" x14ac:dyDescent="0.25">
      <c r="A357" s="17">
        <f>+'TLZK Tesis'!A357</f>
        <v>45758</v>
      </c>
      <c r="B357" s="17">
        <f>+'TLZK Tesis'!B357</f>
        <v>45772</v>
      </c>
      <c r="C357" s="17">
        <f>+'TLZK Tesis'!C357</f>
        <v>45785</v>
      </c>
      <c r="D357" s="40">
        <v>2693364.1869999999</v>
      </c>
      <c r="E357" s="40">
        <v>68156.318700263597</v>
      </c>
      <c r="F357" s="40">
        <v>13148.257333260601</v>
      </c>
      <c r="G357" s="40">
        <v>233338.27600000001</v>
      </c>
      <c r="H357" s="40">
        <v>233378.603023</v>
      </c>
      <c r="I357"/>
      <c r="J357"/>
      <c r="K357" s="65"/>
    </row>
    <row r="358" spans="1:11" x14ac:dyDescent="0.25">
      <c r="C358"/>
      <c r="D358" s="74"/>
      <c r="F358" s="67"/>
      <c r="G358" s="4"/>
      <c r="H358" s="64"/>
      <c r="I358"/>
      <c r="J358"/>
    </row>
    <row r="359" spans="1:11" x14ac:dyDescent="0.25">
      <c r="C359"/>
      <c r="D359"/>
      <c r="F359" s="4"/>
      <c r="G359" s="73"/>
      <c r="H359" s="69"/>
      <c r="I359"/>
      <c r="J359"/>
    </row>
    <row r="360" spans="1:11" x14ac:dyDescent="0.25">
      <c r="C360"/>
      <c r="D360"/>
      <c r="E360" s="4"/>
      <c r="G360" s="73"/>
      <c r="H360" s="65"/>
      <c r="I360" s="4"/>
      <c r="J360"/>
    </row>
    <row r="361" spans="1:11" x14ac:dyDescent="0.25">
      <c r="D361"/>
      <c r="G361" s="55"/>
      <c r="H361" s="65"/>
      <c r="I361" s="53"/>
      <c r="J361" s="50"/>
    </row>
    <row r="362" spans="1:11" x14ac:dyDescent="0.25">
      <c r="G362" s="1"/>
      <c r="H362" s="66"/>
      <c r="I362" s="50"/>
      <c r="J362" s="50"/>
    </row>
    <row r="363" spans="1:11" x14ac:dyDescent="0.25">
      <c r="D363" s="53"/>
      <c r="H363" s="53"/>
    </row>
    <row r="364" spans="1:11" x14ac:dyDescent="0.25">
      <c r="E364"/>
    </row>
    <row r="369" ht="12.75" customHeight="1" x14ac:dyDescent="0.25"/>
  </sheetData>
  <printOptions horizontalCentered="1" verticalCentered="1"/>
  <pageMargins left="0.70866141732283472" right="0.70866141732283472" top="0.15748031496062992" bottom="0.15748031496062992" header="0.31496062992125984" footer="0.31496062992125984"/>
  <pageSetup paperSize="9" scale="43" fitToHeight="3" orientation="portrait" r:id="rId1"/>
  <rowBreaks count="2" manualBreakCount="2">
    <brk id="100" max="7" man="1"/>
    <brk id="200" max="7" man="1"/>
  </rowBreaks>
  <colBreaks count="1" manualBreakCount="1">
    <brk id="8" max="32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J326"/>
  <sheetViews>
    <sheetView zoomScaleNormal="100" zoomScaleSheetLayoutView="100" workbookViewId="0">
      <pane ySplit="2" topLeftCell="A297" activePane="bottomLeft" state="frozen"/>
      <selection activeCell="E373" sqref="E373"/>
      <selection pane="bottomLeft" activeCell="A310" sqref="A310:I310"/>
    </sheetView>
  </sheetViews>
  <sheetFormatPr defaultColWidth="9.140625" defaultRowHeight="15" x14ac:dyDescent="0.25"/>
  <cols>
    <col min="1" max="9" width="13.5703125" style="1" customWidth="1"/>
    <col min="10" max="16384" width="9.140625" style="1"/>
  </cols>
  <sheetData>
    <row r="1" spans="1:9" x14ac:dyDescent="0.25">
      <c r="A1" s="3" t="s">
        <v>47</v>
      </c>
      <c r="B1" s="3"/>
      <c r="C1" s="3"/>
    </row>
    <row r="2" spans="1:9" ht="45" x14ac:dyDescent="0.25">
      <c r="A2" s="31" t="s">
        <v>9</v>
      </c>
      <c r="B2" s="32" t="s">
        <v>40</v>
      </c>
      <c r="C2" s="32" t="s">
        <v>41</v>
      </c>
      <c r="D2" s="32" t="s">
        <v>13</v>
      </c>
      <c r="E2" s="32" t="s">
        <v>14</v>
      </c>
      <c r="F2" s="32" t="s">
        <v>35</v>
      </c>
      <c r="G2" s="32" t="s">
        <v>36</v>
      </c>
      <c r="H2" s="32" t="s">
        <v>32</v>
      </c>
      <c r="I2" s="33" t="s">
        <v>31</v>
      </c>
    </row>
    <row r="3" spans="1:9" x14ac:dyDescent="0.25">
      <c r="A3" s="30">
        <v>40802</v>
      </c>
      <c r="B3" s="15">
        <v>40816</v>
      </c>
      <c r="C3" s="15">
        <v>40829</v>
      </c>
      <c r="D3" s="10">
        <v>10</v>
      </c>
      <c r="E3" s="8">
        <v>7.86</v>
      </c>
      <c r="F3" s="10"/>
      <c r="G3" s="10"/>
      <c r="H3" s="10"/>
      <c r="I3" s="10"/>
    </row>
    <row r="4" spans="1:9" x14ac:dyDescent="0.25">
      <c r="A4" s="15">
        <v>40816</v>
      </c>
      <c r="B4" s="15">
        <v>40830</v>
      </c>
      <c r="C4" s="15">
        <v>40843</v>
      </c>
      <c r="D4" s="11">
        <v>20</v>
      </c>
      <c r="E4" s="9">
        <v>13.82</v>
      </c>
      <c r="F4" s="11"/>
      <c r="G4" s="11"/>
      <c r="H4" s="11"/>
      <c r="I4" s="11"/>
    </row>
    <row r="5" spans="1:9" x14ac:dyDescent="0.25">
      <c r="A5" s="15">
        <v>40830</v>
      </c>
      <c r="B5" s="15">
        <v>40844</v>
      </c>
      <c r="C5" s="15">
        <v>40857</v>
      </c>
      <c r="D5" s="11">
        <v>20</v>
      </c>
      <c r="E5" s="9">
        <v>18.03</v>
      </c>
      <c r="F5" s="11"/>
      <c r="G5" s="11"/>
      <c r="H5" s="11"/>
      <c r="I5" s="11"/>
    </row>
    <row r="6" spans="1:9" x14ac:dyDescent="0.25">
      <c r="A6" s="15">
        <v>40844</v>
      </c>
      <c r="B6" s="15">
        <v>40858</v>
      </c>
      <c r="C6" s="15">
        <v>40871</v>
      </c>
      <c r="D6" s="11">
        <v>40</v>
      </c>
      <c r="E6" s="9">
        <v>33.6</v>
      </c>
      <c r="F6" s="11">
        <v>10</v>
      </c>
      <c r="G6" s="9">
        <v>4.4000000000000004</v>
      </c>
      <c r="H6" s="9"/>
      <c r="I6" s="9"/>
    </row>
    <row r="7" spans="1:9" x14ac:dyDescent="0.25">
      <c r="A7" s="15">
        <v>40858</v>
      </c>
      <c r="B7" s="15">
        <v>40872</v>
      </c>
      <c r="C7" s="15">
        <v>40885</v>
      </c>
      <c r="D7" s="11">
        <v>40</v>
      </c>
      <c r="E7" s="9">
        <v>34.700000000000003</v>
      </c>
      <c r="F7" s="11">
        <v>10</v>
      </c>
      <c r="G7" s="9">
        <v>5.9</v>
      </c>
      <c r="H7" s="9"/>
      <c r="I7" s="9"/>
    </row>
    <row r="8" spans="1:9" x14ac:dyDescent="0.25">
      <c r="A8" s="15">
        <v>40872</v>
      </c>
      <c r="B8" s="15">
        <v>40886</v>
      </c>
      <c r="C8" s="15">
        <v>40899</v>
      </c>
      <c r="D8" s="11">
        <v>40</v>
      </c>
      <c r="E8" s="9">
        <v>35.700000000000003</v>
      </c>
      <c r="F8" s="11">
        <v>10</v>
      </c>
      <c r="G8" s="9">
        <v>6.5</v>
      </c>
      <c r="H8" s="9"/>
      <c r="I8" s="9"/>
    </row>
    <row r="9" spans="1:9" x14ac:dyDescent="0.25">
      <c r="A9" s="15">
        <v>40886</v>
      </c>
      <c r="B9" s="15">
        <v>40900</v>
      </c>
      <c r="C9" s="15">
        <v>40913</v>
      </c>
      <c r="D9" s="11">
        <v>40</v>
      </c>
      <c r="E9" s="9">
        <v>36</v>
      </c>
      <c r="F9" s="11">
        <v>10</v>
      </c>
      <c r="G9" s="9">
        <v>8.6</v>
      </c>
      <c r="H9" s="9"/>
      <c r="I9" s="9"/>
    </row>
    <row r="10" spans="1:9" x14ac:dyDescent="0.25">
      <c r="A10" s="15">
        <v>40900</v>
      </c>
      <c r="B10" s="15">
        <v>40914</v>
      </c>
      <c r="C10" s="15">
        <v>40927</v>
      </c>
      <c r="D10" s="11">
        <v>40</v>
      </c>
      <c r="E10" s="9">
        <v>35.9</v>
      </c>
      <c r="F10" s="11">
        <v>10</v>
      </c>
      <c r="G10" s="9">
        <v>8.4</v>
      </c>
      <c r="H10" s="9"/>
      <c r="I10" s="9"/>
    </row>
    <row r="11" spans="1:9" x14ac:dyDescent="0.25">
      <c r="A11" s="15">
        <v>40914</v>
      </c>
      <c r="B11" s="15">
        <v>40928</v>
      </c>
      <c r="C11" s="15">
        <v>40941</v>
      </c>
      <c r="D11" s="11">
        <v>40</v>
      </c>
      <c r="E11" s="9">
        <v>35.9</v>
      </c>
      <c r="F11" s="11">
        <v>10</v>
      </c>
      <c r="G11" s="9">
        <v>8.4</v>
      </c>
      <c r="H11" s="9"/>
      <c r="I11" s="9"/>
    </row>
    <row r="12" spans="1:9" x14ac:dyDescent="0.25">
      <c r="A12" s="15">
        <v>40928</v>
      </c>
      <c r="B12" s="15">
        <v>40942</v>
      </c>
      <c r="C12" s="15">
        <v>40955</v>
      </c>
      <c r="D12" s="11">
        <v>40</v>
      </c>
      <c r="E12" s="9">
        <v>35.700000000000003</v>
      </c>
      <c r="F12" s="11">
        <v>10</v>
      </c>
      <c r="G12" s="9">
        <v>8.4</v>
      </c>
      <c r="H12" s="9"/>
      <c r="I12" s="9"/>
    </row>
    <row r="13" spans="1:9" x14ac:dyDescent="0.25">
      <c r="A13" s="15">
        <v>40942</v>
      </c>
      <c r="B13" s="15">
        <v>40956</v>
      </c>
      <c r="C13" s="15">
        <v>40969</v>
      </c>
      <c r="D13" s="11">
        <v>40</v>
      </c>
      <c r="E13" s="9">
        <v>36</v>
      </c>
      <c r="F13" s="11">
        <v>10</v>
      </c>
      <c r="G13" s="9">
        <v>8.5</v>
      </c>
      <c r="H13" s="9"/>
      <c r="I13" s="9"/>
    </row>
    <row r="14" spans="1:9" x14ac:dyDescent="0.25">
      <c r="A14" s="15">
        <v>40956</v>
      </c>
      <c r="B14" s="15">
        <v>40970</v>
      </c>
      <c r="C14" s="15">
        <v>40983</v>
      </c>
      <c r="D14" s="11">
        <v>40</v>
      </c>
      <c r="E14" s="9">
        <v>35.700000000000003</v>
      </c>
      <c r="F14" s="11">
        <v>10</v>
      </c>
      <c r="G14" s="9">
        <v>8.5</v>
      </c>
      <c r="H14" s="9"/>
      <c r="I14" s="9"/>
    </row>
    <row r="15" spans="1:9" x14ac:dyDescent="0.25">
      <c r="A15" s="15">
        <v>40970</v>
      </c>
      <c r="B15" s="15">
        <v>40984</v>
      </c>
      <c r="C15" s="15">
        <v>40997</v>
      </c>
      <c r="D15" s="11">
        <v>40</v>
      </c>
      <c r="E15" s="9">
        <v>36.1</v>
      </c>
      <c r="F15" s="11">
        <v>10</v>
      </c>
      <c r="G15" s="9">
        <v>8.6999999999999993</v>
      </c>
      <c r="H15" s="9"/>
      <c r="I15" s="9"/>
    </row>
    <row r="16" spans="1:9" x14ac:dyDescent="0.25">
      <c r="A16" s="15">
        <v>40984</v>
      </c>
      <c r="B16" s="15">
        <v>40998</v>
      </c>
      <c r="C16" s="15">
        <v>41011</v>
      </c>
      <c r="D16" s="11">
        <v>40</v>
      </c>
      <c r="E16" s="9">
        <v>35.799999999999997</v>
      </c>
      <c r="F16" s="11">
        <v>10</v>
      </c>
      <c r="G16" s="9">
        <v>8.9</v>
      </c>
      <c r="H16" s="9"/>
      <c r="I16" s="9"/>
    </row>
    <row r="17" spans="1:9" x14ac:dyDescent="0.25">
      <c r="A17" s="15">
        <v>40998</v>
      </c>
      <c r="B17" s="15">
        <v>41012</v>
      </c>
      <c r="C17" s="15">
        <v>41025</v>
      </c>
      <c r="D17" s="11">
        <v>40</v>
      </c>
      <c r="E17" s="9">
        <v>35.9</v>
      </c>
      <c r="F17" s="11">
        <v>20</v>
      </c>
      <c r="G17" s="9">
        <v>18</v>
      </c>
      <c r="H17" s="9"/>
      <c r="I17" s="9"/>
    </row>
    <row r="18" spans="1:9" x14ac:dyDescent="0.25">
      <c r="A18" s="15">
        <v>41012</v>
      </c>
      <c r="B18" s="15">
        <v>41026</v>
      </c>
      <c r="C18" s="15">
        <v>41039</v>
      </c>
      <c r="D18" s="11">
        <v>40</v>
      </c>
      <c r="E18" s="9">
        <v>35.6</v>
      </c>
      <c r="F18" s="11">
        <v>20</v>
      </c>
      <c r="G18" s="9">
        <v>18.399999999999999</v>
      </c>
      <c r="H18" s="9"/>
      <c r="I18" s="9"/>
    </row>
    <row r="19" spans="1:9" x14ac:dyDescent="0.25">
      <c r="A19" s="15">
        <v>41026</v>
      </c>
      <c r="B19" s="15">
        <v>41040</v>
      </c>
      <c r="C19" s="15">
        <v>41053</v>
      </c>
      <c r="D19" s="11">
        <v>40</v>
      </c>
      <c r="E19" s="9">
        <v>35.799999999999997</v>
      </c>
      <c r="F19" s="11">
        <v>20</v>
      </c>
      <c r="G19" s="9">
        <v>18.2</v>
      </c>
      <c r="H19" s="9"/>
      <c r="I19" s="9"/>
    </row>
    <row r="20" spans="1:9" x14ac:dyDescent="0.25">
      <c r="A20" s="15">
        <v>41040</v>
      </c>
      <c r="B20" s="15">
        <v>41054</v>
      </c>
      <c r="C20" s="15">
        <v>41067</v>
      </c>
      <c r="D20" s="11">
        <v>40</v>
      </c>
      <c r="E20" s="9">
        <v>35.700000000000003</v>
      </c>
      <c r="F20" s="11">
        <v>20</v>
      </c>
      <c r="G20" s="9">
        <v>18.2</v>
      </c>
      <c r="H20" s="9"/>
      <c r="I20" s="9"/>
    </row>
    <row r="21" spans="1:9" x14ac:dyDescent="0.25">
      <c r="A21" s="15">
        <v>41054</v>
      </c>
      <c r="B21" s="15">
        <v>41068</v>
      </c>
      <c r="C21" s="15">
        <v>41081</v>
      </c>
      <c r="D21" s="11">
        <v>40</v>
      </c>
      <c r="E21" s="9">
        <v>39</v>
      </c>
      <c r="F21" s="11">
        <v>20</v>
      </c>
      <c r="G21" s="9">
        <v>18.3</v>
      </c>
      <c r="H21" s="9"/>
      <c r="I21" s="9"/>
    </row>
    <row r="22" spans="1:9" x14ac:dyDescent="0.25">
      <c r="A22" s="15">
        <v>41068</v>
      </c>
      <c r="B22" s="15">
        <v>41082</v>
      </c>
      <c r="C22" s="15">
        <v>41095</v>
      </c>
      <c r="D22" s="11">
        <v>45</v>
      </c>
      <c r="E22" s="9">
        <v>43.7</v>
      </c>
      <c r="F22" s="11">
        <v>20</v>
      </c>
      <c r="G22" s="9">
        <v>18.3</v>
      </c>
      <c r="H22" s="9"/>
      <c r="I22" s="9"/>
    </row>
    <row r="23" spans="1:9" x14ac:dyDescent="0.25">
      <c r="A23" s="15">
        <v>41082</v>
      </c>
      <c r="B23" s="15">
        <v>41096</v>
      </c>
      <c r="C23" s="15">
        <v>41109</v>
      </c>
      <c r="D23" s="11">
        <v>50</v>
      </c>
      <c r="E23" s="9">
        <v>49.2</v>
      </c>
      <c r="F23" s="11">
        <v>20</v>
      </c>
      <c r="G23" s="9">
        <v>18.600000000000001</v>
      </c>
      <c r="H23" s="9"/>
      <c r="I23" s="9"/>
    </row>
    <row r="24" spans="1:9" x14ac:dyDescent="0.25">
      <c r="A24" s="15">
        <v>41096</v>
      </c>
      <c r="B24" s="15">
        <v>41110</v>
      </c>
      <c r="C24" s="15">
        <v>41123</v>
      </c>
      <c r="D24" s="11">
        <v>50</v>
      </c>
      <c r="E24" s="9">
        <v>49.4</v>
      </c>
      <c r="F24" s="11">
        <v>25</v>
      </c>
      <c r="G24" s="9">
        <v>23.9</v>
      </c>
      <c r="H24" s="9"/>
      <c r="I24" s="9"/>
    </row>
    <row r="25" spans="1:9" x14ac:dyDescent="0.25">
      <c r="A25" s="15">
        <v>41110</v>
      </c>
      <c r="B25" s="15">
        <v>41124</v>
      </c>
      <c r="C25" s="15">
        <v>41137</v>
      </c>
      <c r="D25" s="11">
        <v>55</v>
      </c>
      <c r="E25" s="9">
        <v>53.3</v>
      </c>
      <c r="F25" s="11">
        <v>25</v>
      </c>
      <c r="G25" s="9">
        <v>23.7</v>
      </c>
      <c r="H25" s="9"/>
      <c r="I25" s="9"/>
    </row>
    <row r="26" spans="1:9" x14ac:dyDescent="0.25">
      <c r="A26" s="15">
        <v>41124</v>
      </c>
      <c r="B26" s="15">
        <v>41138</v>
      </c>
      <c r="C26" s="15">
        <v>41151</v>
      </c>
      <c r="D26" s="11">
        <v>55</v>
      </c>
      <c r="E26" s="9">
        <v>53</v>
      </c>
      <c r="F26" s="11">
        <v>25</v>
      </c>
      <c r="G26" s="9">
        <v>24.1</v>
      </c>
      <c r="H26" s="9"/>
      <c r="I26" s="9"/>
    </row>
    <row r="27" spans="1:9" x14ac:dyDescent="0.25">
      <c r="A27" s="15">
        <v>41138</v>
      </c>
      <c r="B27" s="15">
        <v>41152</v>
      </c>
      <c r="C27" s="15">
        <v>41165</v>
      </c>
      <c r="D27" s="11">
        <v>60</v>
      </c>
      <c r="E27" s="9">
        <v>54.2</v>
      </c>
      <c r="F27" s="11">
        <v>25</v>
      </c>
      <c r="G27" s="9">
        <v>23.8</v>
      </c>
      <c r="H27" s="9"/>
      <c r="I27" s="9"/>
    </row>
    <row r="28" spans="1:9" x14ac:dyDescent="0.25">
      <c r="A28" s="15">
        <v>41152</v>
      </c>
      <c r="B28" s="15">
        <v>41166</v>
      </c>
      <c r="C28" s="15">
        <v>41179</v>
      </c>
      <c r="D28" s="11">
        <v>60</v>
      </c>
      <c r="E28" s="9">
        <v>55.35</v>
      </c>
      <c r="F28" s="11">
        <v>30</v>
      </c>
      <c r="G28" s="9">
        <v>25.05</v>
      </c>
      <c r="H28" s="9"/>
      <c r="I28" s="9"/>
    </row>
    <row r="29" spans="1:9" x14ac:dyDescent="0.25">
      <c r="A29" s="15">
        <v>41166</v>
      </c>
      <c r="B29" s="15">
        <v>41180</v>
      </c>
      <c r="C29" s="15">
        <v>41193</v>
      </c>
      <c r="D29" s="11">
        <v>60</v>
      </c>
      <c r="E29" s="9">
        <v>56.27</v>
      </c>
      <c r="F29" s="11">
        <v>30</v>
      </c>
      <c r="G29" s="9">
        <v>25.44</v>
      </c>
      <c r="H29" s="9"/>
      <c r="I29" s="9"/>
    </row>
    <row r="30" spans="1:9" x14ac:dyDescent="0.25">
      <c r="A30" s="15">
        <v>41180</v>
      </c>
      <c r="B30" s="15">
        <v>41194</v>
      </c>
      <c r="C30" s="15">
        <v>41207</v>
      </c>
      <c r="D30" s="11">
        <v>60</v>
      </c>
      <c r="E30" s="9">
        <v>53.39</v>
      </c>
      <c r="F30" s="11">
        <v>30</v>
      </c>
      <c r="G30" s="9">
        <v>26.65</v>
      </c>
      <c r="H30" s="9"/>
      <c r="I30" s="9"/>
    </row>
    <row r="31" spans="1:9" x14ac:dyDescent="0.25">
      <c r="A31" s="15">
        <v>41194</v>
      </c>
      <c r="B31" s="15">
        <v>41208</v>
      </c>
      <c r="C31" s="15">
        <v>41221</v>
      </c>
      <c r="D31" s="11">
        <v>60</v>
      </c>
      <c r="E31" s="9">
        <v>54.76</v>
      </c>
      <c r="F31" s="11">
        <v>30</v>
      </c>
      <c r="G31" s="9">
        <v>26.97</v>
      </c>
      <c r="H31" s="9"/>
      <c r="I31" s="9"/>
    </row>
    <row r="32" spans="1:9" x14ac:dyDescent="0.25">
      <c r="A32" s="15">
        <v>41208</v>
      </c>
      <c r="B32" s="15">
        <v>41222</v>
      </c>
      <c r="C32" s="15">
        <v>41235</v>
      </c>
      <c r="D32" s="11">
        <v>60</v>
      </c>
      <c r="E32" s="9">
        <v>54.31</v>
      </c>
      <c r="F32" s="11">
        <v>30</v>
      </c>
      <c r="G32" s="9">
        <v>27.07</v>
      </c>
      <c r="H32" s="9"/>
      <c r="I32" s="9"/>
    </row>
    <row r="33" spans="1:9" x14ac:dyDescent="0.25">
      <c r="A33" s="15">
        <v>41222</v>
      </c>
      <c r="B33" s="15">
        <v>41236</v>
      </c>
      <c r="C33" s="15">
        <v>41249</v>
      </c>
      <c r="D33" s="11">
        <v>60</v>
      </c>
      <c r="E33" s="9">
        <v>53.77</v>
      </c>
      <c r="F33" s="11">
        <v>30</v>
      </c>
      <c r="G33" s="9">
        <v>27.07</v>
      </c>
      <c r="H33" s="9"/>
      <c r="I33" s="9"/>
    </row>
    <row r="34" spans="1:9" x14ac:dyDescent="0.25">
      <c r="A34" s="15">
        <v>41236</v>
      </c>
      <c r="B34" s="15">
        <v>41250</v>
      </c>
      <c r="C34" s="15">
        <v>41263</v>
      </c>
      <c r="D34" s="11">
        <v>60</v>
      </c>
      <c r="E34" s="9">
        <v>53.38</v>
      </c>
      <c r="F34" s="11">
        <v>30</v>
      </c>
      <c r="G34" s="9">
        <v>27.11</v>
      </c>
      <c r="H34" s="9"/>
      <c r="I34" s="9"/>
    </row>
    <row r="35" spans="1:9" x14ac:dyDescent="0.25">
      <c r="A35" s="15">
        <v>41250</v>
      </c>
      <c r="B35" s="15">
        <v>41264</v>
      </c>
      <c r="C35" s="15">
        <v>41277</v>
      </c>
      <c r="D35" s="11">
        <v>60</v>
      </c>
      <c r="E35" s="9">
        <v>50.97</v>
      </c>
      <c r="F35" s="11">
        <v>30</v>
      </c>
      <c r="G35" s="9">
        <v>26.25</v>
      </c>
      <c r="H35" s="9"/>
      <c r="I35" s="9"/>
    </row>
    <row r="36" spans="1:9" x14ac:dyDescent="0.25">
      <c r="A36" s="15">
        <v>41264</v>
      </c>
      <c r="B36" s="15">
        <v>41278</v>
      </c>
      <c r="C36" s="15">
        <v>41291</v>
      </c>
      <c r="D36" s="11">
        <v>60</v>
      </c>
      <c r="E36" s="9">
        <v>51.42</v>
      </c>
      <c r="F36" s="11">
        <v>30</v>
      </c>
      <c r="G36" s="9">
        <v>25.58</v>
      </c>
      <c r="H36" s="9"/>
      <c r="I36" s="9"/>
    </row>
    <row r="37" spans="1:9" x14ac:dyDescent="0.25">
      <c r="A37" s="15">
        <v>41278</v>
      </c>
      <c r="B37" s="15">
        <v>41292</v>
      </c>
      <c r="C37" s="15">
        <v>41305</v>
      </c>
      <c r="D37" s="11">
        <v>60</v>
      </c>
      <c r="E37" s="9">
        <v>53.44</v>
      </c>
      <c r="F37" s="11">
        <v>30</v>
      </c>
      <c r="G37" s="9">
        <v>24.79</v>
      </c>
      <c r="H37" s="9"/>
      <c r="I37" s="9"/>
    </row>
    <row r="38" spans="1:9" x14ac:dyDescent="0.25">
      <c r="A38" s="15">
        <v>41292</v>
      </c>
      <c r="B38" s="15">
        <v>41306</v>
      </c>
      <c r="C38" s="15">
        <v>41319</v>
      </c>
      <c r="D38" s="11">
        <v>60</v>
      </c>
      <c r="E38" s="9">
        <v>53.92</v>
      </c>
      <c r="F38" s="11">
        <v>30</v>
      </c>
      <c r="G38" s="9">
        <v>25.19</v>
      </c>
      <c r="H38" s="9"/>
      <c r="I38" s="9"/>
    </row>
    <row r="39" spans="1:9" x14ac:dyDescent="0.25">
      <c r="A39" s="15">
        <v>41306</v>
      </c>
      <c r="B39" s="15">
        <v>41320</v>
      </c>
      <c r="C39" s="15">
        <v>41333</v>
      </c>
      <c r="D39" s="11">
        <v>60</v>
      </c>
      <c r="E39" s="9">
        <v>52.72</v>
      </c>
      <c r="F39" s="11">
        <v>30</v>
      </c>
      <c r="G39" s="9">
        <v>24.88</v>
      </c>
      <c r="H39" s="9"/>
      <c r="I39" s="9"/>
    </row>
    <row r="40" spans="1:9" x14ac:dyDescent="0.25">
      <c r="A40" s="15">
        <v>41320</v>
      </c>
      <c r="B40" s="15">
        <v>41334</v>
      </c>
      <c r="C40" s="15">
        <v>41347</v>
      </c>
      <c r="D40" s="11">
        <v>60</v>
      </c>
      <c r="E40" s="9">
        <v>51.82</v>
      </c>
      <c r="F40" s="11">
        <v>30</v>
      </c>
      <c r="G40" s="9">
        <v>24.06</v>
      </c>
      <c r="H40" s="9"/>
      <c r="I40" s="9"/>
    </row>
    <row r="41" spans="1:9" x14ac:dyDescent="0.25">
      <c r="A41" s="15">
        <v>41334</v>
      </c>
      <c r="B41" s="15">
        <v>41348</v>
      </c>
      <c r="C41" s="15">
        <v>41361</v>
      </c>
      <c r="D41" s="11">
        <v>60</v>
      </c>
      <c r="E41" s="9">
        <v>51.76</v>
      </c>
      <c r="F41" s="11">
        <v>30</v>
      </c>
      <c r="G41" s="9">
        <v>23.66</v>
      </c>
      <c r="H41" s="9"/>
      <c r="I41" s="9"/>
    </row>
    <row r="42" spans="1:9" x14ac:dyDescent="0.25">
      <c r="A42" s="15">
        <v>41348</v>
      </c>
      <c r="B42" s="15">
        <v>41362</v>
      </c>
      <c r="C42" s="15">
        <v>41375</v>
      </c>
      <c r="D42" s="11">
        <v>60</v>
      </c>
      <c r="E42" s="9">
        <v>52.3</v>
      </c>
      <c r="F42" s="11">
        <v>30</v>
      </c>
      <c r="G42" s="9">
        <v>24.3</v>
      </c>
      <c r="H42" s="9"/>
      <c r="I42" s="9"/>
    </row>
    <row r="43" spans="1:9" x14ac:dyDescent="0.25">
      <c r="A43" s="15">
        <v>41362</v>
      </c>
      <c r="B43" s="15">
        <v>41376</v>
      </c>
      <c r="C43" s="15">
        <v>41389</v>
      </c>
      <c r="D43" s="11">
        <v>60</v>
      </c>
      <c r="E43" s="9">
        <v>54.3</v>
      </c>
      <c r="F43" s="11">
        <v>30</v>
      </c>
      <c r="G43" s="9">
        <v>24.4</v>
      </c>
      <c r="H43" s="9"/>
      <c r="I43" s="9"/>
    </row>
    <row r="44" spans="1:9" x14ac:dyDescent="0.25">
      <c r="A44" s="15">
        <v>41376</v>
      </c>
      <c r="B44" s="15">
        <v>41390</v>
      </c>
      <c r="C44" s="15">
        <v>41403</v>
      </c>
      <c r="D44" s="11">
        <v>60</v>
      </c>
      <c r="E44" s="9">
        <v>55.53</v>
      </c>
      <c r="F44" s="11">
        <v>30</v>
      </c>
      <c r="G44" s="9">
        <v>24.54</v>
      </c>
      <c r="H44" s="9"/>
      <c r="I44" s="9"/>
    </row>
    <row r="45" spans="1:9" x14ac:dyDescent="0.25">
      <c r="A45" s="15">
        <v>41390</v>
      </c>
      <c r="B45" s="15">
        <v>41404</v>
      </c>
      <c r="C45" s="15">
        <v>41417</v>
      </c>
      <c r="D45" s="11">
        <v>60</v>
      </c>
      <c r="E45" s="9">
        <v>50.47</v>
      </c>
      <c r="F45" s="11">
        <v>30</v>
      </c>
      <c r="G45" s="9">
        <v>24.34</v>
      </c>
      <c r="H45" s="9"/>
      <c r="I45" s="9"/>
    </row>
    <row r="46" spans="1:9" x14ac:dyDescent="0.25">
      <c r="A46" s="15">
        <v>41404</v>
      </c>
      <c r="B46" s="15">
        <v>41418</v>
      </c>
      <c r="C46" s="15">
        <v>41431</v>
      </c>
      <c r="D46" s="11">
        <v>60</v>
      </c>
      <c r="E46" s="9">
        <v>49.53</v>
      </c>
      <c r="F46" s="11">
        <v>30</v>
      </c>
      <c r="G46" s="9">
        <v>24.17</v>
      </c>
      <c r="H46" s="9"/>
      <c r="I46" s="9"/>
    </row>
    <row r="47" spans="1:9" x14ac:dyDescent="0.25">
      <c r="A47" s="15">
        <v>41418</v>
      </c>
      <c r="B47" s="15">
        <v>41432</v>
      </c>
      <c r="C47" s="15">
        <v>41445</v>
      </c>
      <c r="D47" s="11">
        <v>60</v>
      </c>
      <c r="E47" s="9">
        <v>46.47</v>
      </c>
      <c r="F47" s="11">
        <v>30</v>
      </c>
      <c r="G47" s="9">
        <v>23.51</v>
      </c>
      <c r="H47" s="9"/>
      <c r="I47" s="9"/>
    </row>
    <row r="48" spans="1:9" x14ac:dyDescent="0.25">
      <c r="A48" s="15">
        <v>41432</v>
      </c>
      <c r="B48" s="15">
        <v>41446</v>
      </c>
      <c r="C48" s="15">
        <v>41459</v>
      </c>
      <c r="D48" s="11">
        <v>60</v>
      </c>
      <c r="E48" s="9">
        <v>46.44</v>
      </c>
      <c r="F48" s="11">
        <v>30</v>
      </c>
      <c r="G48" s="9">
        <v>23.8</v>
      </c>
      <c r="H48" s="9"/>
      <c r="I48" s="9"/>
    </row>
    <row r="49" spans="1:9" x14ac:dyDescent="0.25">
      <c r="A49" s="15">
        <v>41446</v>
      </c>
      <c r="B49" s="15">
        <v>41460</v>
      </c>
      <c r="C49" s="15">
        <v>41473</v>
      </c>
      <c r="D49" s="11">
        <v>60</v>
      </c>
      <c r="E49" s="9">
        <v>47.7</v>
      </c>
      <c r="F49" s="11">
        <v>30</v>
      </c>
      <c r="G49" s="9">
        <v>21.5</v>
      </c>
      <c r="H49" s="9"/>
      <c r="I49" s="9"/>
    </row>
    <row r="50" spans="1:9" x14ac:dyDescent="0.25">
      <c r="A50" s="15">
        <v>41460</v>
      </c>
      <c r="B50" s="15">
        <v>41474</v>
      </c>
      <c r="C50" s="15">
        <v>41487</v>
      </c>
      <c r="D50" s="11">
        <v>60</v>
      </c>
      <c r="E50" s="9">
        <v>47.2</v>
      </c>
      <c r="F50" s="11">
        <v>30</v>
      </c>
      <c r="G50" s="9">
        <v>22.7</v>
      </c>
      <c r="H50" s="9"/>
      <c r="I50" s="9"/>
    </row>
    <row r="51" spans="1:9" x14ac:dyDescent="0.25">
      <c r="A51" s="15">
        <v>41474</v>
      </c>
      <c r="B51" s="15">
        <v>41488</v>
      </c>
      <c r="C51" s="15">
        <v>41501</v>
      </c>
      <c r="D51" s="11">
        <v>60</v>
      </c>
      <c r="E51" s="9">
        <v>49.3</v>
      </c>
      <c r="F51" s="11">
        <v>30</v>
      </c>
      <c r="G51" s="9">
        <v>24.9</v>
      </c>
      <c r="H51" s="9"/>
      <c r="I51" s="9"/>
    </row>
    <row r="52" spans="1:9" x14ac:dyDescent="0.25">
      <c r="A52" s="15">
        <v>41488</v>
      </c>
      <c r="B52" s="15">
        <v>41502</v>
      </c>
      <c r="C52" s="15">
        <v>41515</v>
      </c>
      <c r="D52" s="11">
        <v>60</v>
      </c>
      <c r="E52" s="9">
        <v>50.42</v>
      </c>
      <c r="F52" s="11">
        <v>30</v>
      </c>
      <c r="G52" s="9">
        <v>24.91</v>
      </c>
      <c r="H52" s="9"/>
      <c r="I52" s="9"/>
    </row>
    <row r="53" spans="1:9" x14ac:dyDescent="0.25">
      <c r="A53" s="15">
        <v>41502</v>
      </c>
      <c r="B53" s="15">
        <v>41519</v>
      </c>
      <c r="C53" s="15">
        <v>41529</v>
      </c>
      <c r="D53" s="11">
        <v>60</v>
      </c>
      <c r="E53" s="9">
        <v>51.3</v>
      </c>
      <c r="F53" s="11">
        <v>30</v>
      </c>
      <c r="G53" s="9">
        <v>25.22</v>
      </c>
      <c r="H53" s="9"/>
      <c r="I53" s="9"/>
    </row>
    <row r="54" spans="1:9" x14ac:dyDescent="0.25">
      <c r="A54" s="15">
        <v>41519</v>
      </c>
      <c r="B54" s="15">
        <v>41530</v>
      </c>
      <c r="C54" s="15">
        <v>41543</v>
      </c>
      <c r="D54" s="11">
        <v>60</v>
      </c>
      <c r="E54" s="9">
        <v>51.29</v>
      </c>
      <c r="F54" s="11">
        <v>30</v>
      </c>
      <c r="G54" s="9">
        <v>25.85</v>
      </c>
      <c r="H54" s="9"/>
      <c r="I54" s="9"/>
    </row>
    <row r="55" spans="1:9" x14ac:dyDescent="0.25">
      <c r="A55" s="15">
        <v>41530</v>
      </c>
      <c r="B55" s="15">
        <v>41544</v>
      </c>
      <c r="C55" s="15">
        <v>41557</v>
      </c>
      <c r="D55" s="11">
        <v>60</v>
      </c>
      <c r="E55" s="9">
        <v>51.54</v>
      </c>
      <c r="F55" s="11">
        <v>30</v>
      </c>
      <c r="G55" s="9">
        <v>25.78</v>
      </c>
      <c r="H55" s="9"/>
      <c r="I55" s="9"/>
    </row>
    <row r="56" spans="1:9" x14ac:dyDescent="0.25">
      <c r="A56" s="15">
        <v>41544</v>
      </c>
      <c r="B56" s="15">
        <v>41558</v>
      </c>
      <c r="C56" s="15">
        <v>41571</v>
      </c>
      <c r="D56" s="11">
        <v>60</v>
      </c>
      <c r="E56" s="9">
        <v>52.53</v>
      </c>
      <c r="F56" s="11">
        <v>30</v>
      </c>
      <c r="G56" s="9">
        <v>25.78</v>
      </c>
      <c r="H56" s="9"/>
      <c r="I56" s="9"/>
    </row>
    <row r="57" spans="1:9" x14ac:dyDescent="0.25">
      <c r="A57" s="15">
        <v>41558</v>
      </c>
      <c r="B57" s="15">
        <v>41572</v>
      </c>
      <c r="C57" s="15">
        <v>41585</v>
      </c>
      <c r="D57" s="11">
        <v>60</v>
      </c>
      <c r="E57" s="9">
        <v>52.87</v>
      </c>
      <c r="F57" s="11">
        <v>30</v>
      </c>
      <c r="G57" s="9">
        <v>25.12</v>
      </c>
      <c r="H57" s="9"/>
      <c r="I57" s="9"/>
    </row>
    <row r="58" spans="1:9" x14ac:dyDescent="0.25">
      <c r="A58" s="15">
        <v>41572</v>
      </c>
      <c r="B58" s="15">
        <v>41586</v>
      </c>
      <c r="C58" s="15">
        <v>41599</v>
      </c>
      <c r="D58" s="11">
        <v>60</v>
      </c>
      <c r="E58" s="9">
        <v>53.39</v>
      </c>
      <c r="F58" s="11">
        <v>30</v>
      </c>
      <c r="G58" s="9">
        <v>25.69</v>
      </c>
      <c r="H58" s="9"/>
      <c r="I58" s="9"/>
    </row>
    <row r="59" spans="1:9" x14ac:dyDescent="0.25">
      <c r="A59" s="15">
        <v>41586</v>
      </c>
      <c r="B59" s="15">
        <v>41600</v>
      </c>
      <c r="C59" s="15">
        <v>41613</v>
      </c>
      <c r="D59" s="11">
        <v>60</v>
      </c>
      <c r="E59" s="9">
        <v>53.67</v>
      </c>
      <c r="F59" s="11">
        <v>30</v>
      </c>
      <c r="G59" s="9">
        <v>26.23</v>
      </c>
      <c r="H59" s="9"/>
      <c r="I59" s="9"/>
    </row>
    <row r="60" spans="1:9" x14ac:dyDescent="0.25">
      <c r="A60" s="15">
        <v>41600</v>
      </c>
      <c r="B60" s="15">
        <v>41614</v>
      </c>
      <c r="C60" s="15">
        <v>41627</v>
      </c>
      <c r="D60" s="11">
        <v>60</v>
      </c>
      <c r="E60" s="9">
        <v>54.62</v>
      </c>
      <c r="F60" s="11">
        <v>30</v>
      </c>
      <c r="G60" s="9">
        <v>25.67</v>
      </c>
      <c r="H60" s="9"/>
      <c r="I60" s="9"/>
    </row>
    <row r="61" spans="1:9" x14ac:dyDescent="0.25">
      <c r="A61" s="15">
        <v>41614</v>
      </c>
      <c r="B61" s="15">
        <v>41628</v>
      </c>
      <c r="C61" s="15">
        <v>41641</v>
      </c>
      <c r="D61" s="11">
        <v>60</v>
      </c>
      <c r="E61" s="9">
        <v>54.33</v>
      </c>
      <c r="F61" s="11">
        <v>30</v>
      </c>
      <c r="G61" s="9">
        <v>25.68</v>
      </c>
      <c r="H61" s="9"/>
      <c r="I61" s="9"/>
    </row>
    <row r="62" spans="1:9" x14ac:dyDescent="0.25">
      <c r="A62" s="15">
        <v>41628</v>
      </c>
      <c r="B62" s="15">
        <v>41642</v>
      </c>
      <c r="C62" s="15">
        <v>41655</v>
      </c>
      <c r="D62" s="11">
        <v>60</v>
      </c>
      <c r="E62" s="9">
        <v>53.11</v>
      </c>
      <c r="F62" s="11">
        <v>30</v>
      </c>
      <c r="G62" s="9">
        <v>25.25</v>
      </c>
      <c r="H62" s="9"/>
      <c r="I62" s="9"/>
    </row>
    <row r="63" spans="1:9" x14ac:dyDescent="0.25">
      <c r="A63" s="15">
        <v>41642</v>
      </c>
      <c r="B63" s="15">
        <v>41656</v>
      </c>
      <c r="C63" s="15">
        <v>41669</v>
      </c>
      <c r="D63" s="11">
        <v>60</v>
      </c>
      <c r="E63" s="9">
        <v>53.67</v>
      </c>
      <c r="F63" s="11">
        <v>30</v>
      </c>
      <c r="G63" s="9">
        <v>25.17</v>
      </c>
      <c r="H63" s="9"/>
      <c r="I63" s="9"/>
    </row>
    <row r="64" spans="1:9" x14ac:dyDescent="0.25">
      <c r="A64" s="15">
        <v>41656</v>
      </c>
      <c r="B64" s="15">
        <v>41670</v>
      </c>
      <c r="C64" s="15">
        <v>41683</v>
      </c>
      <c r="D64" s="11">
        <v>60</v>
      </c>
      <c r="E64" s="9">
        <v>53.600844538853053</v>
      </c>
      <c r="F64" s="11">
        <v>30</v>
      </c>
      <c r="G64" s="9">
        <v>25.42</v>
      </c>
      <c r="H64" s="9"/>
      <c r="I64" s="9"/>
    </row>
    <row r="65" spans="1:9" x14ac:dyDescent="0.25">
      <c r="A65" s="15">
        <v>41670</v>
      </c>
      <c r="B65" s="15">
        <v>41684</v>
      </c>
      <c r="C65" s="15">
        <v>41697</v>
      </c>
      <c r="D65" s="11">
        <v>60</v>
      </c>
      <c r="E65" s="9">
        <v>55.3</v>
      </c>
      <c r="F65" s="11">
        <v>30</v>
      </c>
      <c r="G65" s="9">
        <v>26.58</v>
      </c>
      <c r="H65" s="9"/>
      <c r="I65" s="9"/>
    </row>
    <row r="66" spans="1:9" x14ac:dyDescent="0.25">
      <c r="A66" s="15">
        <v>41684</v>
      </c>
      <c r="B66" s="15">
        <v>41698</v>
      </c>
      <c r="C66" s="15">
        <v>41711</v>
      </c>
      <c r="D66" s="11">
        <v>60</v>
      </c>
      <c r="E66" s="9">
        <v>55.46</v>
      </c>
      <c r="F66" s="11">
        <v>30</v>
      </c>
      <c r="G66" s="9">
        <v>27.09</v>
      </c>
      <c r="H66" s="9"/>
      <c r="I66" s="9"/>
    </row>
    <row r="67" spans="1:9" x14ac:dyDescent="0.25">
      <c r="A67" s="15">
        <v>41698</v>
      </c>
      <c r="B67" s="15">
        <v>41712</v>
      </c>
      <c r="C67" s="15">
        <v>41725</v>
      </c>
      <c r="D67" s="11">
        <v>60</v>
      </c>
      <c r="E67" s="9">
        <v>55.8</v>
      </c>
      <c r="F67" s="11">
        <v>30</v>
      </c>
      <c r="G67" s="9">
        <v>27.48</v>
      </c>
      <c r="H67" s="9"/>
      <c r="I67" s="9"/>
    </row>
    <row r="68" spans="1:9" x14ac:dyDescent="0.25">
      <c r="A68" s="15">
        <v>41712</v>
      </c>
      <c r="B68" s="15">
        <v>41726</v>
      </c>
      <c r="C68" s="15">
        <v>41739</v>
      </c>
      <c r="D68" s="11">
        <v>60</v>
      </c>
      <c r="E68" s="9">
        <v>55.55</v>
      </c>
      <c r="F68" s="11">
        <v>30</v>
      </c>
      <c r="G68" s="9">
        <v>27.64</v>
      </c>
      <c r="H68" s="9"/>
      <c r="I68" s="9"/>
    </row>
    <row r="69" spans="1:9" x14ac:dyDescent="0.25">
      <c r="A69" s="15">
        <v>41726</v>
      </c>
      <c r="B69" s="15">
        <v>41740</v>
      </c>
      <c r="C69" s="15">
        <v>41753</v>
      </c>
      <c r="D69" s="11">
        <v>60</v>
      </c>
      <c r="E69" s="9">
        <v>56.44</v>
      </c>
      <c r="F69" s="11">
        <v>30</v>
      </c>
      <c r="G69" s="9">
        <v>26.97</v>
      </c>
      <c r="H69" s="9"/>
      <c r="I69" s="9"/>
    </row>
    <row r="70" spans="1:9" x14ac:dyDescent="0.25">
      <c r="A70" s="15">
        <v>41740</v>
      </c>
      <c r="B70" s="15">
        <v>41754</v>
      </c>
      <c r="C70" s="15">
        <v>41767</v>
      </c>
      <c r="D70" s="11">
        <v>60</v>
      </c>
      <c r="E70" s="9">
        <v>56.87</v>
      </c>
      <c r="F70" s="11">
        <v>30</v>
      </c>
      <c r="G70" s="9">
        <v>26.83</v>
      </c>
      <c r="H70" s="9"/>
      <c r="I70" s="9"/>
    </row>
    <row r="71" spans="1:9" x14ac:dyDescent="0.25">
      <c r="A71" s="15">
        <v>41754</v>
      </c>
      <c r="B71" s="15">
        <v>41768</v>
      </c>
      <c r="C71" s="15">
        <v>41781</v>
      </c>
      <c r="D71" s="11">
        <v>60</v>
      </c>
      <c r="E71" s="9">
        <v>57.09</v>
      </c>
      <c r="F71" s="11">
        <v>30</v>
      </c>
      <c r="G71" s="9">
        <v>26.75</v>
      </c>
      <c r="H71" s="9"/>
      <c r="I71" s="9"/>
    </row>
    <row r="72" spans="1:9" x14ac:dyDescent="0.25">
      <c r="A72" s="15">
        <v>41768</v>
      </c>
      <c r="B72" s="15">
        <v>41782</v>
      </c>
      <c r="C72" s="15">
        <v>41795</v>
      </c>
      <c r="D72" s="11">
        <v>60</v>
      </c>
      <c r="E72" s="9">
        <v>57.76</v>
      </c>
      <c r="F72" s="11">
        <v>30</v>
      </c>
      <c r="G72" s="9">
        <v>26.44</v>
      </c>
      <c r="H72" s="9"/>
      <c r="I72" s="9"/>
    </row>
    <row r="73" spans="1:9" x14ac:dyDescent="0.25">
      <c r="A73" s="15">
        <v>41782</v>
      </c>
      <c r="B73" s="15">
        <v>41796</v>
      </c>
      <c r="C73" s="15">
        <v>41809</v>
      </c>
      <c r="D73" s="11">
        <v>60</v>
      </c>
      <c r="E73" s="9">
        <v>57.29</v>
      </c>
      <c r="F73" s="11">
        <v>30</v>
      </c>
      <c r="G73" s="9">
        <v>26.82</v>
      </c>
      <c r="H73" s="9"/>
      <c r="I73" s="9"/>
    </row>
    <row r="74" spans="1:9" x14ac:dyDescent="0.25">
      <c r="A74" s="15">
        <v>41796</v>
      </c>
      <c r="B74" s="15">
        <v>41810</v>
      </c>
      <c r="C74" s="15">
        <v>41823</v>
      </c>
      <c r="D74" s="11">
        <v>60</v>
      </c>
      <c r="E74" s="9">
        <v>57.13</v>
      </c>
      <c r="F74" s="11">
        <v>30</v>
      </c>
      <c r="G74" s="9">
        <v>26.48</v>
      </c>
      <c r="H74" s="9"/>
      <c r="I74" s="9"/>
    </row>
    <row r="75" spans="1:9" x14ac:dyDescent="0.25">
      <c r="A75" s="15">
        <v>41810</v>
      </c>
      <c r="B75" s="15">
        <v>41824</v>
      </c>
      <c r="C75" s="15">
        <v>41837</v>
      </c>
      <c r="D75" s="11">
        <v>60</v>
      </c>
      <c r="E75" s="9">
        <v>56.93</v>
      </c>
      <c r="F75" s="11">
        <v>30</v>
      </c>
      <c r="G75" s="9">
        <v>27.15</v>
      </c>
      <c r="H75" s="9"/>
      <c r="I75" s="9"/>
    </row>
    <row r="76" spans="1:9" x14ac:dyDescent="0.25">
      <c r="A76" s="15">
        <v>41824</v>
      </c>
      <c r="B76" s="15">
        <v>41838</v>
      </c>
      <c r="C76" s="15">
        <v>41851</v>
      </c>
      <c r="D76" s="11">
        <v>60</v>
      </c>
      <c r="E76" s="9">
        <v>57.3</v>
      </c>
      <c r="F76" s="11">
        <v>30</v>
      </c>
      <c r="G76" s="9">
        <v>26.89</v>
      </c>
      <c r="H76" s="9"/>
      <c r="I76" s="9"/>
    </row>
    <row r="77" spans="1:9" x14ac:dyDescent="0.25">
      <c r="A77" s="15">
        <v>41838</v>
      </c>
      <c r="B77" s="15">
        <v>41852</v>
      </c>
      <c r="C77" s="15">
        <v>41865</v>
      </c>
      <c r="D77" s="11">
        <v>60</v>
      </c>
      <c r="E77" s="9">
        <v>57.08</v>
      </c>
      <c r="F77" s="11">
        <v>30</v>
      </c>
      <c r="G77" s="9">
        <v>26.46</v>
      </c>
      <c r="H77" s="9"/>
      <c r="I77" s="9"/>
    </row>
    <row r="78" spans="1:9" x14ac:dyDescent="0.25">
      <c r="A78" s="15">
        <v>41852</v>
      </c>
      <c r="B78" s="15">
        <v>41866</v>
      </c>
      <c r="C78" s="15">
        <v>41879</v>
      </c>
      <c r="D78" s="11">
        <v>60</v>
      </c>
      <c r="E78" s="9">
        <v>57.49</v>
      </c>
      <c r="F78" s="11">
        <v>30</v>
      </c>
      <c r="G78" s="9">
        <v>26.39</v>
      </c>
      <c r="H78" s="9"/>
      <c r="I78" s="9"/>
    </row>
    <row r="79" spans="1:9" x14ac:dyDescent="0.25">
      <c r="A79" s="15">
        <v>41866</v>
      </c>
      <c r="B79" s="15">
        <v>41880</v>
      </c>
      <c r="C79" s="15">
        <v>41893</v>
      </c>
      <c r="D79" s="11">
        <v>60</v>
      </c>
      <c r="E79" s="9">
        <v>57.16</v>
      </c>
      <c r="F79" s="11">
        <v>30</v>
      </c>
      <c r="G79" s="9">
        <v>26.79</v>
      </c>
      <c r="H79" s="9"/>
      <c r="I79" s="9"/>
    </row>
    <row r="80" spans="1:9" x14ac:dyDescent="0.25">
      <c r="A80" s="15">
        <v>41880</v>
      </c>
      <c r="B80" s="15">
        <v>41894</v>
      </c>
      <c r="C80" s="15">
        <v>41907</v>
      </c>
      <c r="D80" s="11">
        <v>60</v>
      </c>
      <c r="E80" s="9">
        <v>56.18</v>
      </c>
      <c r="F80" s="11">
        <v>30</v>
      </c>
      <c r="G80" s="9">
        <v>26.86</v>
      </c>
      <c r="H80" s="9"/>
      <c r="I80" s="9"/>
    </row>
    <row r="81" spans="1:9" x14ac:dyDescent="0.25">
      <c r="A81" s="15">
        <v>41894</v>
      </c>
      <c r="B81" s="15">
        <v>41908</v>
      </c>
      <c r="C81" s="15">
        <v>41921</v>
      </c>
      <c r="D81" s="11">
        <v>60</v>
      </c>
      <c r="E81" s="9">
        <v>56.7</v>
      </c>
      <c r="F81" s="11">
        <v>30</v>
      </c>
      <c r="G81" s="9">
        <v>26.64</v>
      </c>
      <c r="H81" s="9"/>
      <c r="I81" s="9"/>
    </row>
    <row r="82" spans="1:9" x14ac:dyDescent="0.25">
      <c r="A82" s="15">
        <v>41908</v>
      </c>
      <c r="B82" s="15">
        <v>41922</v>
      </c>
      <c r="C82" s="15">
        <v>41935</v>
      </c>
      <c r="D82" s="11">
        <v>60</v>
      </c>
      <c r="E82" s="9">
        <v>57.1</v>
      </c>
      <c r="F82" s="11">
        <v>30</v>
      </c>
      <c r="G82" s="9">
        <v>26.53</v>
      </c>
      <c r="H82" s="9"/>
      <c r="I82" s="9"/>
    </row>
    <row r="83" spans="1:9" x14ac:dyDescent="0.25">
      <c r="A83" s="15">
        <v>41922</v>
      </c>
      <c r="B83" s="15">
        <v>41936</v>
      </c>
      <c r="C83" s="15">
        <v>41949</v>
      </c>
      <c r="D83" s="11">
        <v>60</v>
      </c>
      <c r="E83" s="9">
        <v>56.69</v>
      </c>
      <c r="F83" s="11">
        <v>30</v>
      </c>
      <c r="G83" s="9">
        <v>26.78</v>
      </c>
      <c r="H83" s="9"/>
      <c r="I83" s="9"/>
    </row>
    <row r="84" spans="1:9" x14ac:dyDescent="0.25">
      <c r="A84" s="15">
        <v>41936</v>
      </c>
      <c r="B84" s="15">
        <v>41950</v>
      </c>
      <c r="C84" s="15">
        <v>41963</v>
      </c>
      <c r="D84" s="11">
        <v>60</v>
      </c>
      <c r="E84" s="9">
        <v>57.03</v>
      </c>
      <c r="F84" s="11">
        <v>30</v>
      </c>
      <c r="G84" s="9">
        <v>26.73</v>
      </c>
      <c r="H84" s="9"/>
      <c r="I84" s="9"/>
    </row>
    <row r="85" spans="1:9" x14ac:dyDescent="0.25">
      <c r="A85" s="15">
        <v>41950</v>
      </c>
      <c r="B85" s="15">
        <v>41964</v>
      </c>
      <c r="C85" s="15">
        <v>41977</v>
      </c>
      <c r="D85" s="11">
        <v>60</v>
      </c>
      <c r="E85" s="9">
        <v>56.57</v>
      </c>
      <c r="F85" s="11">
        <v>30</v>
      </c>
      <c r="G85" s="9">
        <v>26.33</v>
      </c>
      <c r="H85" s="9"/>
      <c r="I85" s="9"/>
    </row>
    <row r="86" spans="1:9" x14ac:dyDescent="0.25">
      <c r="A86" s="15">
        <v>41964</v>
      </c>
      <c r="B86" s="15">
        <v>41978</v>
      </c>
      <c r="C86" s="15">
        <v>41991</v>
      </c>
      <c r="D86" s="11">
        <v>60</v>
      </c>
      <c r="E86" s="9">
        <v>55.18</v>
      </c>
      <c r="F86" s="11">
        <v>30</v>
      </c>
      <c r="G86" s="9">
        <v>26.43</v>
      </c>
      <c r="H86" s="9"/>
      <c r="I86" s="9"/>
    </row>
    <row r="87" spans="1:9" x14ac:dyDescent="0.25">
      <c r="A87" s="15">
        <v>41978</v>
      </c>
      <c r="B87" s="15">
        <v>41992</v>
      </c>
      <c r="C87" s="15">
        <v>42005</v>
      </c>
      <c r="D87" s="11">
        <v>60</v>
      </c>
      <c r="E87" s="9">
        <v>51.64</v>
      </c>
      <c r="F87" s="11">
        <v>30</v>
      </c>
      <c r="G87" s="9">
        <v>26.16</v>
      </c>
      <c r="H87" s="9"/>
      <c r="I87" s="9"/>
    </row>
    <row r="88" spans="1:9" x14ac:dyDescent="0.25">
      <c r="A88" s="15">
        <v>41992</v>
      </c>
      <c r="B88" s="15">
        <v>42006</v>
      </c>
      <c r="C88" s="15">
        <v>42019</v>
      </c>
      <c r="D88" s="11">
        <v>60</v>
      </c>
      <c r="E88" s="9">
        <v>53.3</v>
      </c>
      <c r="F88" s="11">
        <v>30</v>
      </c>
      <c r="G88" s="9">
        <v>26.13</v>
      </c>
      <c r="H88" s="9"/>
      <c r="I88" s="9"/>
    </row>
    <row r="89" spans="1:9" x14ac:dyDescent="0.25">
      <c r="A89" s="15">
        <v>42006</v>
      </c>
      <c r="B89" s="15">
        <v>42020</v>
      </c>
      <c r="C89" s="15">
        <v>42033</v>
      </c>
      <c r="D89" s="11">
        <v>60</v>
      </c>
      <c r="E89" s="9">
        <v>54.18</v>
      </c>
      <c r="F89" s="11">
        <v>30</v>
      </c>
      <c r="G89" s="9">
        <v>26.29</v>
      </c>
      <c r="H89" s="9"/>
      <c r="I89" s="9"/>
    </row>
    <row r="90" spans="1:9" x14ac:dyDescent="0.25">
      <c r="A90" s="15">
        <v>42020</v>
      </c>
      <c r="B90" s="15">
        <v>42034</v>
      </c>
      <c r="C90" s="15">
        <v>42047</v>
      </c>
      <c r="D90" s="11">
        <v>60</v>
      </c>
      <c r="E90" s="9">
        <v>53.68</v>
      </c>
      <c r="F90" s="11">
        <v>30</v>
      </c>
      <c r="G90" s="9">
        <v>26.15</v>
      </c>
      <c r="H90" s="9"/>
      <c r="I90" s="9"/>
    </row>
    <row r="91" spans="1:9" x14ac:dyDescent="0.25">
      <c r="A91" s="15">
        <v>42034</v>
      </c>
      <c r="B91" s="15">
        <v>42048</v>
      </c>
      <c r="C91" s="15">
        <v>42061</v>
      </c>
      <c r="D91" s="11">
        <v>60</v>
      </c>
      <c r="E91" s="9">
        <v>53.84</v>
      </c>
      <c r="F91" s="11">
        <v>30</v>
      </c>
      <c r="G91" s="9">
        <v>26.69</v>
      </c>
      <c r="H91" s="9"/>
      <c r="I91" s="9"/>
    </row>
    <row r="92" spans="1:9" x14ac:dyDescent="0.25">
      <c r="A92" s="15">
        <v>42048</v>
      </c>
      <c r="B92" s="15">
        <v>42062</v>
      </c>
      <c r="C92" s="15">
        <v>42075</v>
      </c>
      <c r="D92" s="11">
        <v>60</v>
      </c>
      <c r="E92" s="9">
        <v>54.59</v>
      </c>
      <c r="F92" s="11">
        <v>30</v>
      </c>
      <c r="G92" s="9">
        <v>26.61</v>
      </c>
      <c r="H92" s="9"/>
      <c r="I92" s="9"/>
    </row>
    <row r="93" spans="1:9" x14ac:dyDescent="0.25">
      <c r="A93" s="15">
        <v>42062</v>
      </c>
      <c r="B93" s="15">
        <v>42076</v>
      </c>
      <c r="C93" s="15">
        <v>42089</v>
      </c>
      <c r="D93" s="11">
        <v>60</v>
      </c>
      <c r="E93" s="9">
        <v>55.02</v>
      </c>
      <c r="F93" s="11">
        <v>30</v>
      </c>
      <c r="G93" s="9">
        <v>26.84</v>
      </c>
      <c r="H93" s="9"/>
      <c r="I93" s="9"/>
    </row>
    <row r="94" spans="1:9" x14ac:dyDescent="0.25">
      <c r="A94" s="15">
        <v>42076</v>
      </c>
      <c r="B94" s="15">
        <v>42090</v>
      </c>
      <c r="C94" s="15">
        <v>42103</v>
      </c>
      <c r="D94" s="11">
        <v>60</v>
      </c>
      <c r="E94" s="9">
        <v>55.6</v>
      </c>
      <c r="F94" s="11">
        <v>30</v>
      </c>
      <c r="G94" s="9">
        <v>26.88</v>
      </c>
      <c r="H94" s="9"/>
      <c r="I94" s="9"/>
    </row>
    <row r="95" spans="1:9" x14ac:dyDescent="0.25">
      <c r="A95" s="15">
        <v>42090</v>
      </c>
      <c r="B95" s="15">
        <v>42104</v>
      </c>
      <c r="C95" s="15">
        <v>42117</v>
      </c>
      <c r="D95" s="11">
        <v>60</v>
      </c>
      <c r="E95" s="9">
        <v>55.8</v>
      </c>
      <c r="F95" s="11">
        <v>30</v>
      </c>
      <c r="G95" s="9">
        <v>27.11</v>
      </c>
      <c r="H95" s="9"/>
      <c r="I95" s="9"/>
    </row>
    <row r="96" spans="1:9" x14ac:dyDescent="0.25">
      <c r="A96" s="15">
        <v>42104</v>
      </c>
      <c r="B96" s="15">
        <v>42118</v>
      </c>
      <c r="C96" s="15">
        <v>42131</v>
      </c>
      <c r="D96" s="11">
        <v>60</v>
      </c>
      <c r="E96" s="9">
        <v>55.79</v>
      </c>
      <c r="F96" s="11">
        <v>30</v>
      </c>
      <c r="G96" s="9">
        <v>27.37</v>
      </c>
      <c r="H96" s="9"/>
      <c r="I96" s="9"/>
    </row>
    <row r="97" spans="1:9" x14ac:dyDescent="0.25">
      <c r="A97" s="15">
        <v>42118</v>
      </c>
      <c r="B97" s="15">
        <v>42132</v>
      </c>
      <c r="C97" s="15">
        <v>42145</v>
      </c>
      <c r="D97" s="11">
        <v>60</v>
      </c>
      <c r="E97" s="9">
        <v>56.14</v>
      </c>
      <c r="F97" s="11">
        <v>30</v>
      </c>
      <c r="G97" s="9">
        <v>27.66</v>
      </c>
      <c r="H97" s="9"/>
      <c r="I97" s="9"/>
    </row>
    <row r="98" spans="1:9" x14ac:dyDescent="0.25">
      <c r="A98" s="15">
        <v>42132</v>
      </c>
      <c r="B98" s="15">
        <v>42146</v>
      </c>
      <c r="C98" s="15">
        <v>42159</v>
      </c>
      <c r="D98" s="11">
        <v>60</v>
      </c>
      <c r="E98" s="9">
        <v>56.38</v>
      </c>
      <c r="F98" s="11">
        <v>30</v>
      </c>
      <c r="G98" s="9">
        <v>27.63</v>
      </c>
      <c r="H98" s="9"/>
      <c r="I98" s="9"/>
    </row>
    <row r="99" spans="1:9" x14ac:dyDescent="0.25">
      <c r="A99" s="15">
        <v>42146</v>
      </c>
      <c r="B99" s="15">
        <v>42160</v>
      </c>
      <c r="C99" s="15">
        <v>42173</v>
      </c>
      <c r="D99" s="11">
        <v>60</v>
      </c>
      <c r="E99" s="9">
        <v>56.35</v>
      </c>
      <c r="F99" s="11">
        <v>30</v>
      </c>
      <c r="G99" s="9">
        <v>27.63</v>
      </c>
      <c r="H99" s="9"/>
      <c r="I99" s="9"/>
    </row>
    <row r="100" spans="1:9" x14ac:dyDescent="0.25">
      <c r="A100" s="15">
        <v>42160</v>
      </c>
      <c r="B100" s="15">
        <v>42174</v>
      </c>
      <c r="C100" s="15">
        <v>42187</v>
      </c>
      <c r="D100" s="11">
        <v>60</v>
      </c>
      <c r="E100" s="9">
        <v>56.01</v>
      </c>
      <c r="F100" s="11">
        <v>30</v>
      </c>
      <c r="G100" s="9">
        <v>27.39</v>
      </c>
      <c r="H100" s="9"/>
      <c r="I100" s="9"/>
    </row>
    <row r="101" spans="1:9" x14ac:dyDescent="0.25">
      <c r="A101" s="15">
        <v>42174</v>
      </c>
      <c r="B101" s="15">
        <v>42188</v>
      </c>
      <c r="C101" s="15">
        <v>42201</v>
      </c>
      <c r="D101" s="11">
        <v>60</v>
      </c>
      <c r="E101" s="9">
        <v>55.9</v>
      </c>
      <c r="F101" s="11">
        <v>30</v>
      </c>
      <c r="G101" s="9">
        <v>27.29</v>
      </c>
      <c r="H101" s="9"/>
      <c r="I101" s="9"/>
    </row>
    <row r="102" spans="1:9" x14ac:dyDescent="0.25">
      <c r="A102" s="15">
        <v>42188</v>
      </c>
      <c r="B102" s="15">
        <v>42205</v>
      </c>
      <c r="C102" s="15">
        <v>42215</v>
      </c>
      <c r="D102" s="11">
        <v>60</v>
      </c>
      <c r="E102" s="9">
        <v>56.08</v>
      </c>
      <c r="F102" s="11">
        <v>30</v>
      </c>
      <c r="G102" s="9">
        <v>27.16</v>
      </c>
      <c r="H102" s="9"/>
      <c r="I102" s="9"/>
    </row>
    <row r="103" spans="1:9" x14ac:dyDescent="0.25">
      <c r="A103" s="15">
        <v>42205</v>
      </c>
      <c r="B103" s="15">
        <v>42216</v>
      </c>
      <c r="C103" s="15">
        <v>42229</v>
      </c>
      <c r="D103" s="11">
        <v>60</v>
      </c>
      <c r="E103" s="9">
        <v>56.87</v>
      </c>
      <c r="F103" s="11">
        <v>30</v>
      </c>
      <c r="G103" s="9">
        <v>27.6</v>
      </c>
      <c r="H103" s="9"/>
      <c r="I103" s="9"/>
    </row>
    <row r="104" spans="1:9" x14ac:dyDescent="0.25">
      <c r="A104" s="15">
        <v>42216</v>
      </c>
      <c r="B104" s="15">
        <v>42230</v>
      </c>
      <c r="C104" s="15">
        <v>42243</v>
      </c>
      <c r="D104" s="11">
        <v>60</v>
      </c>
      <c r="E104" s="9">
        <v>57.22</v>
      </c>
      <c r="F104" s="11">
        <v>30</v>
      </c>
      <c r="G104" s="9">
        <v>27.1</v>
      </c>
      <c r="H104" s="9"/>
      <c r="I104" s="9"/>
    </row>
    <row r="105" spans="1:9" x14ac:dyDescent="0.25">
      <c r="A105" s="15">
        <v>42230</v>
      </c>
      <c r="B105" s="15">
        <v>42244</v>
      </c>
      <c r="C105" s="15">
        <v>42257</v>
      </c>
      <c r="D105" s="11">
        <v>60</v>
      </c>
      <c r="E105" s="9">
        <v>57.46</v>
      </c>
      <c r="F105" s="11">
        <v>30</v>
      </c>
      <c r="G105" s="9">
        <v>27.68</v>
      </c>
      <c r="H105" s="9"/>
      <c r="I105" s="9"/>
    </row>
    <row r="106" spans="1:9" x14ac:dyDescent="0.25">
      <c r="A106" s="15">
        <v>42244</v>
      </c>
      <c r="B106" s="15">
        <v>42258</v>
      </c>
      <c r="C106" s="15">
        <v>42271</v>
      </c>
      <c r="D106" s="11">
        <v>60</v>
      </c>
      <c r="E106" s="9">
        <v>57.52</v>
      </c>
      <c r="F106" s="11">
        <v>30</v>
      </c>
      <c r="G106" s="9">
        <v>28.02</v>
      </c>
      <c r="H106" s="9"/>
      <c r="I106" s="9"/>
    </row>
    <row r="107" spans="1:9" x14ac:dyDescent="0.25">
      <c r="A107" s="15">
        <v>42258</v>
      </c>
      <c r="B107" s="15">
        <v>42275</v>
      </c>
      <c r="C107" s="15">
        <v>42285</v>
      </c>
      <c r="D107" s="11">
        <v>60</v>
      </c>
      <c r="E107" s="9">
        <v>57.71</v>
      </c>
      <c r="F107" s="11">
        <v>30</v>
      </c>
      <c r="G107" s="9">
        <v>27.94</v>
      </c>
      <c r="H107" s="9"/>
      <c r="I107" s="9"/>
    </row>
    <row r="108" spans="1:9" x14ac:dyDescent="0.25">
      <c r="A108" s="15">
        <v>42270</v>
      </c>
      <c r="B108" s="15">
        <v>42286</v>
      </c>
      <c r="C108" s="15">
        <v>42299</v>
      </c>
      <c r="D108" s="11">
        <v>60</v>
      </c>
      <c r="E108" s="9">
        <v>57.65</v>
      </c>
      <c r="F108" s="11">
        <v>30</v>
      </c>
      <c r="G108" s="9">
        <v>28.04</v>
      </c>
      <c r="H108" s="9"/>
      <c r="I108" s="9"/>
    </row>
    <row r="109" spans="1:9" x14ac:dyDescent="0.25">
      <c r="A109" s="15">
        <v>42286</v>
      </c>
      <c r="B109" s="15">
        <v>42300</v>
      </c>
      <c r="C109" s="15">
        <v>42313</v>
      </c>
      <c r="D109" s="11">
        <v>60</v>
      </c>
      <c r="E109" s="9">
        <v>57.65</v>
      </c>
      <c r="F109" s="11">
        <v>30</v>
      </c>
      <c r="G109" s="9">
        <v>27.87</v>
      </c>
      <c r="H109" s="9"/>
      <c r="I109" s="9"/>
    </row>
    <row r="110" spans="1:9" x14ac:dyDescent="0.25">
      <c r="A110" s="15">
        <v>42300</v>
      </c>
      <c r="B110" s="15">
        <v>42314</v>
      </c>
      <c r="C110" s="15">
        <v>42327</v>
      </c>
      <c r="D110" s="11">
        <v>60</v>
      </c>
      <c r="E110" s="9">
        <v>57.79</v>
      </c>
      <c r="F110" s="11">
        <v>30</v>
      </c>
      <c r="G110" s="9">
        <v>27.76</v>
      </c>
      <c r="H110" s="9"/>
      <c r="I110" s="9"/>
    </row>
    <row r="111" spans="1:9" x14ac:dyDescent="0.25">
      <c r="A111" s="15">
        <v>42314</v>
      </c>
      <c r="B111" s="15">
        <v>42328</v>
      </c>
      <c r="C111" s="15">
        <v>42341</v>
      </c>
      <c r="D111" s="11">
        <v>60</v>
      </c>
      <c r="E111" s="9">
        <v>57.2</v>
      </c>
      <c r="F111" s="11">
        <v>30</v>
      </c>
      <c r="G111" s="9">
        <v>27.41</v>
      </c>
      <c r="H111" s="9"/>
      <c r="I111" s="9"/>
    </row>
    <row r="112" spans="1:9" x14ac:dyDescent="0.25">
      <c r="A112" s="15">
        <v>42328</v>
      </c>
      <c r="B112" s="15">
        <v>42342</v>
      </c>
      <c r="C112" s="15">
        <v>42355</v>
      </c>
      <c r="D112" s="11">
        <v>60</v>
      </c>
      <c r="E112" s="9">
        <v>56.15</v>
      </c>
      <c r="F112" s="11">
        <v>30</v>
      </c>
      <c r="G112" s="9">
        <v>27.11</v>
      </c>
      <c r="H112" s="9"/>
      <c r="I112" s="9"/>
    </row>
    <row r="113" spans="1:9" x14ac:dyDescent="0.25">
      <c r="A113" s="15">
        <v>42342</v>
      </c>
      <c r="B113" s="15">
        <v>42356</v>
      </c>
      <c r="C113" s="15">
        <v>42372</v>
      </c>
      <c r="D113" s="11">
        <v>60</v>
      </c>
      <c r="E113" s="9">
        <v>54.7</v>
      </c>
      <c r="F113" s="11">
        <v>30</v>
      </c>
      <c r="G113" s="9">
        <v>26.94</v>
      </c>
      <c r="H113" s="9"/>
      <c r="I113" s="9"/>
    </row>
    <row r="114" spans="1:9" x14ac:dyDescent="0.25">
      <c r="A114" s="15">
        <v>42356</v>
      </c>
      <c r="B114" s="15">
        <v>42373</v>
      </c>
      <c r="C114" s="15">
        <v>42383</v>
      </c>
      <c r="D114" s="11">
        <v>60</v>
      </c>
      <c r="E114" s="9">
        <v>53.91</v>
      </c>
      <c r="F114" s="11">
        <v>30</v>
      </c>
      <c r="G114" s="9">
        <v>26.89</v>
      </c>
      <c r="H114" s="9"/>
      <c r="I114" s="9"/>
    </row>
    <row r="115" spans="1:9" x14ac:dyDescent="0.25">
      <c r="A115" s="15">
        <v>42369</v>
      </c>
      <c r="B115" s="15">
        <v>42384</v>
      </c>
      <c r="C115" s="15">
        <v>42397</v>
      </c>
      <c r="D115" s="11">
        <v>60</v>
      </c>
      <c r="E115" s="9">
        <v>53.44</v>
      </c>
      <c r="F115" s="11">
        <v>30</v>
      </c>
      <c r="G115" s="9">
        <v>26.75</v>
      </c>
      <c r="H115" s="9"/>
      <c r="I115" s="9"/>
    </row>
    <row r="116" spans="1:9" x14ac:dyDescent="0.25">
      <c r="A116" s="15">
        <v>42384</v>
      </c>
      <c r="B116" s="15">
        <v>42398</v>
      </c>
      <c r="C116" s="15">
        <v>42411</v>
      </c>
      <c r="D116" s="11">
        <v>60</v>
      </c>
      <c r="E116" s="9">
        <v>53.4</v>
      </c>
      <c r="F116" s="11">
        <v>30</v>
      </c>
      <c r="G116" s="9">
        <v>27.1</v>
      </c>
      <c r="H116" s="9"/>
      <c r="I116" s="9"/>
    </row>
    <row r="117" spans="1:9" x14ac:dyDescent="0.25">
      <c r="A117" s="15">
        <v>42398</v>
      </c>
      <c r="B117" s="15">
        <v>42412</v>
      </c>
      <c r="C117" s="15">
        <v>42425</v>
      </c>
      <c r="D117" s="11">
        <v>60</v>
      </c>
      <c r="E117" s="9">
        <v>53.88</v>
      </c>
      <c r="F117" s="11">
        <v>30</v>
      </c>
      <c r="G117" s="9">
        <v>26.97</v>
      </c>
      <c r="H117" s="9"/>
      <c r="I117" s="9"/>
    </row>
    <row r="118" spans="1:9" x14ac:dyDescent="0.25">
      <c r="A118" s="15">
        <v>42412</v>
      </c>
      <c r="B118" s="15">
        <v>42426</v>
      </c>
      <c r="C118" s="15">
        <v>42439</v>
      </c>
      <c r="D118" s="11">
        <v>60</v>
      </c>
      <c r="E118" s="9">
        <v>52.87</v>
      </c>
      <c r="F118" s="11">
        <v>30</v>
      </c>
      <c r="G118" s="9">
        <v>27.17</v>
      </c>
      <c r="H118" s="9"/>
      <c r="I118" s="9"/>
    </row>
    <row r="119" spans="1:9" x14ac:dyDescent="0.25">
      <c r="A119" s="15">
        <v>42426</v>
      </c>
      <c r="B119" s="15">
        <v>42440</v>
      </c>
      <c r="C119" s="15">
        <v>42453</v>
      </c>
      <c r="D119" s="11">
        <v>60</v>
      </c>
      <c r="E119" s="9">
        <v>53.352635366350142</v>
      </c>
      <c r="F119" s="11">
        <v>30</v>
      </c>
      <c r="G119" s="9">
        <v>27.127952317708825</v>
      </c>
      <c r="H119" s="9"/>
      <c r="I119" s="9"/>
    </row>
    <row r="120" spans="1:9" x14ac:dyDescent="0.25">
      <c r="A120" s="15">
        <v>42440</v>
      </c>
      <c r="B120" s="15">
        <v>42454</v>
      </c>
      <c r="C120" s="15">
        <v>42467</v>
      </c>
      <c r="D120" s="11">
        <v>60</v>
      </c>
      <c r="E120" s="9">
        <v>51.962362451226838</v>
      </c>
      <c r="F120" s="11">
        <v>30</v>
      </c>
      <c r="G120" s="9">
        <v>27.032237714177686</v>
      </c>
      <c r="H120" s="9"/>
      <c r="I120" s="9"/>
    </row>
    <row r="121" spans="1:9" x14ac:dyDescent="0.25">
      <c r="A121" s="15">
        <v>42454</v>
      </c>
      <c r="B121" s="15">
        <v>42468</v>
      </c>
      <c r="C121" s="15">
        <v>42481</v>
      </c>
      <c r="D121" s="11">
        <v>60</v>
      </c>
      <c r="E121" s="9">
        <v>52.599633778423637</v>
      </c>
      <c r="F121" s="11">
        <v>30</v>
      </c>
      <c r="G121" s="9">
        <v>26.896966156900081</v>
      </c>
      <c r="H121" s="9"/>
      <c r="I121" s="9"/>
    </row>
    <row r="122" spans="1:9" x14ac:dyDescent="0.25">
      <c r="A122" s="15">
        <v>42468</v>
      </c>
      <c r="B122" s="15">
        <v>42482</v>
      </c>
      <c r="C122" s="15">
        <v>42495</v>
      </c>
      <c r="D122" s="11">
        <v>60</v>
      </c>
      <c r="E122" s="9">
        <v>51.295980043585075</v>
      </c>
      <c r="F122" s="11">
        <v>30</v>
      </c>
      <c r="G122" s="9">
        <v>26.913054695849979</v>
      </c>
      <c r="H122" s="9"/>
      <c r="I122" s="9"/>
    </row>
    <row r="123" spans="1:9" x14ac:dyDescent="0.25">
      <c r="A123" s="15">
        <v>42482</v>
      </c>
      <c r="B123" s="15">
        <v>42496</v>
      </c>
      <c r="C123" s="15">
        <v>42509</v>
      </c>
      <c r="D123" s="11">
        <v>60</v>
      </c>
      <c r="E123" s="9">
        <v>51.634006616943864</v>
      </c>
      <c r="F123" s="11">
        <v>30</v>
      </c>
      <c r="G123" s="9">
        <v>26.405372971115121</v>
      </c>
      <c r="H123" s="9"/>
      <c r="I123" s="9"/>
    </row>
    <row r="124" spans="1:9" x14ac:dyDescent="0.25">
      <c r="A124" s="15">
        <v>42496</v>
      </c>
      <c r="B124" s="15">
        <v>42510</v>
      </c>
      <c r="C124" s="15">
        <v>42523</v>
      </c>
      <c r="D124" s="11">
        <v>60</v>
      </c>
      <c r="E124" s="9">
        <v>51.003922438608662</v>
      </c>
      <c r="F124" s="11">
        <v>30</v>
      </c>
      <c r="G124" s="9">
        <v>26.75145102136673</v>
      </c>
      <c r="H124" s="9"/>
      <c r="I124" s="9"/>
    </row>
    <row r="125" spans="1:9" x14ac:dyDescent="0.25">
      <c r="A125" s="15">
        <v>42510</v>
      </c>
      <c r="B125" s="15">
        <v>42524</v>
      </c>
      <c r="C125" s="15">
        <v>42537</v>
      </c>
      <c r="D125" s="11">
        <v>60</v>
      </c>
      <c r="E125" s="9">
        <v>52.455983166310581</v>
      </c>
      <c r="F125" s="11">
        <v>30</v>
      </c>
      <c r="G125" s="9">
        <v>26.670484636680381</v>
      </c>
      <c r="H125" s="9"/>
      <c r="I125" s="9"/>
    </row>
    <row r="126" spans="1:9" x14ac:dyDescent="0.25">
      <c r="A126" s="15">
        <v>42524</v>
      </c>
      <c r="B126" s="15">
        <v>42538</v>
      </c>
      <c r="C126" s="15">
        <v>42551</v>
      </c>
      <c r="D126" s="11">
        <v>60</v>
      </c>
      <c r="E126" s="9">
        <v>50.51583783754797</v>
      </c>
      <c r="F126" s="11">
        <v>30</v>
      </c>
      <c r="G126" s="9">
        <v>26.093160506186081</v>
      </c>
      <c r="H126" s="9"/>
      <c r="I126" s="9"/>
    </row>
    <row r="127" spans="1:9" x14ac:dyDescent="0.25">
      <c r="A127" s="15">
        <v>42538</v>
      </c>
      <c r="B127" s="15">
        <v>42552</v>
      </c>
      <c r="C127" s="15">
        <v>42565</v>
      </c>
      <c r="D127" s="11">
        <v>60</v>
      </c>
      <c r="E127" s="9">
        <v>51.12</v>
      </c>
      <c r="F127" s="11">
        <v>30</v>
      </c>
      <c r="G127" s="9">
        <v>26.45</v>
      </c>
      <c r="H127" s="9"/>
      <c r="I127" s="9"/>
    </row>
    <row r="128" spans="1:9" x14ac:dyDescent="0.25">
      <c r="A128" s="15">
        <v>42552</v>
      </c>
      <c r="B128" s="15">
        <v>42566</v>
      </c>
      <c r="C128" s="15">
        <v>42579</v>
      </c>
      <c r="D128" s="11">
        <v>60</v>
      </c>
      <c r="E128" s="9">
        <v>50.652811651778286</v>
      </c>
      <c r="F128" s="11">
        <v>30</v>
      </c>
      <c r="G128" s="9">
        <v>26.538699803992316</v>
      </c>
      <c r="H128" s="9"/>
      <c r="I128" s="9"/>
    </row>
    <row r="129" spans="1:9" x14ac:dyDescent="0.25">
      <c r="A129" s="15">
        <v>42566</v>
      </c>
      <c r="B129" s="15">
        <v>42580</v>
      </c>
      <c r="C129" s="15">
        <v>42593</v>
      </c>
      <c r="D129" s="11">
        <v>60</v>
      </c>
      <c r="E129" s="9">
        <v>47.893693334613289</v>
      </c>
      <c r="F129" s="11">
        <v>30</v>
      </c>
      <c r="G129" s="9">
        <v>26.292732547740027</v>
      </c>
      <c r="H129" s="9"/>
      <c r="I129" s="9"/>
    </row>
    <row r="130" spans="1:9" x14ac:dyDescent="0.25">
      <c r="A130" s="15">
        <v>42580</v>
      </c>
      <c r="B130" s="15">
        <v>42594</v>
      </c>
      <c r="C130" s="15">
        <v>42607</v>
      </c>
      <c r="D130" s="11">
        <v>60</v>
      </c>
      <c r="E130" s="9">
        <v>48.185625521105734</v>
      </c>
      <c r="F130" s="11">
        <v>30</v>
      </c>
      <c r="G130" s="9">
        <v>26.28556533474341</v>
      </c>
      <c r="H130" s="9"/>
      <c r="I130" s="9"/>
    </row>
    <row r="131" spans="1:9" x14ac:dyDescent="0.25">
      <c r="A131" s="15">
        <v>42594</v>
      </c>
      <c r="B131" s="15">
        <v>42608</v>
      </c>
      <c r="C131" s="15">
        <v>42621</v>
      </c>
      <c r="D131" s="11">
        <v>60</v>
      </c>
      <c r="E131" s="9">
        <v>46.720584741852299</v>
      </c>
      <c r="F131" s="11">
        <v>30</v>
      </c>
      <c r="G131" s="9">
        <v>25.854666648074865</v>
      </c>
      <c r="H131" s="9"/>
      <c r="I131" s="9"/>
    </row>
    <row r="132" spans="1:9" x14ac:dyDescent="0.25">
      <c r="A132" s="15">
        <v>42608</v>
      </c>
      <c r="B132" s="15">
        <v>42622</v>
      </c>
      <c r="C132" s="15">
        <v>42635</v>
      </c>
      <c r="D132" s="11">
        <v>60</v>
      </c>
      <c r="E132" s="9">
        <v>46.444149201134202</v>
      </c>
      <c r="F132" s="11">
        <v>30</v>
      </c>
      <c r="G132" s="9">
        <v>24.899673889394393</v>
      </c>
      <c r="H132" s="9"/>
      <c r="I132" s="9"/>
    </row>
    <row r="133" spans="1:9" x14ac:dyDescent="0.25">
      <c r="A133" s="15">
        <v>42622</v>
      </c>
      <c r="B133" s="15">
        <v>42636</v>
      </c>
      <c r="C133" s="15">
        <v>42649</v>
      </c>
      <c r="D133" s="11">
        <v>60</v>
      </c>
      <c r="E133" s="9">
        <v>44.139310862418597</v>
      </c>
      <c r="F133" s="11">
        <v>30</v>
      </c>
      <c r="G133" s="9">
        <v>24.572126599138599</v>
      </c>
      <c r="H133" s="9"/>
      <c r="I133" s="9"/>
    </row>
    <row r="134" spans="1:9" x14ac:dyDescent="0.25">
      <c r="A134" s="15">
        <v>42636</v>
      </c>
      <c r="B134" s="15">
        <v>42650</v>
      </c>
      <c r="C134" s="15">
        <v>42663</v>
      </c>
      <c r="D134" s="11">
        <v>60</v>
      </c>
      <c r="E134" s="9">
        <v>43.506448430931663</v>
      </c>
      <c r="F134" s="11">
        <v>30</v>
      </c>
      <c r="G134" s="9">
        <v>24.089254065895808</v>
      </c>
      <c r="H134" s="9"/>
      <c r="I134" s="9"/>
    </row>
    <row r="135" spans="1:9" x14ac:dyDescent="0.25">
      <c r="A135" s="15">
        <v>42650</v>
      </c>
      <c r="B135" s="15">
        <v>42664</v>
      </c>
      <c r="C135" s="15">
        <v>42677</v>
      </c>
      <c r="D135" s="11">
        <v>60</v>
      </c>
      <c r="E135" s="9">
        <v>41.891538468286825</v>
      </c>
      <c r="F135" s="11">
        <v>30</v>
      </c>
      <c r="G135" s="9">
        <v>22.410197483520029</v>
      </c>
      <c r="H135" s="9"/>
      <c r="I135" s="9"/>
    </row>
    <row r="136" spans="1:9" x14ac:dyDescent="0.25">
      <c r="A136" s="15">
        <v>42664</v>
      </c>
      <c r="B136" s="15">
        <v>42678</v>
      </c>
      <c r="C136" s="15">
        <v>42691</v>
      </c>
      <c r="D136" s="11">
        <v>60</v>
      </c>
      <c r="E136" s="9">
        <v>43.151724259397938</v>
      </c>
      <c r="F136" s="11">
        <v>30</v>
      </c>
      <c r="G136" s="9">
        <v>21.133711647531161</v>
      </c>
      <c r="H136" s="9"/>
      <c r="I136" s="9"/>
    </row>
    <row r="137" spans="1:9" x14ac:dyDescent="0.25">
      <c r="A137" s="15">
        <v>42678</v>
      </c>
      <c r="B137" s="15">
        <v>42692</v>
      </c>
      <c r="C137" s="15">
        <v>42705</v>
      </c>
      <c r="D137" s="11">
        <v>60</v>
      </c>
      <c r="E137" s="9">
        <v>41.475903531075538</v>
      </c>
      <c r="F137" s="11">
        <v>30</v>
      </c>
      <c r="G137" s="9">
        <v>21.04926173535506</v>
      </c>
      <c r="H137" s="26">
        <v>5</v>
      </c>
      <c r="I137" s="9">
        <v>9.1886483805914358E-3</v>
      </c>
    </row>
    <row r="138" spans="1:9" x14ac:dyDescent="0.25">
      <c r="A138" s="15">
        <v>42692</v>
      </c>
      <c r="B138" s="15">
        <v>42706</v>
      </c>
      <c r="C138" s="15">
        <v>42719</v>
      </c>
      <c r="D138" s="11">
        <v>60</v>
      </c>
      <c r="E138" s="9">
        <v>44.060755804265177</v>
      </c>
      <c r="F138" s="11">
        <v>30</v>
      </c>
      <c r="G138" s="9">
        <v>20.753737496344076</v>
      </c>
      <c r="H138" s="26">
        <v>5</v>
      </c>
      <c r="I138" s="9">
        <v>5.9039117534247218E-2</v>
      </c>
    </row>
    <row r="139" spans="1:9" x14ac:dyDescent="0.25">
      <c r="A139" s="15">
        <v>42706</v>
      </c>
      <c r="B139" s="15">
        <v>42720</v>
      </c>
      <c r="C139" s="15">
        <v>42733</v>
      </c>
      <c r="D139" s="11">
        <v>60</v>
      </c>
      <c r="E139" s="9">
        <v>44.890211700070942</v>
      </c>
      <c r="F139" s="11">
        <v>30</v>
      </c>
      <c r="G139" s="9">
        <v>20.201141517949299</v>
      </c>
      <c r="H139" s="26">
        <v>5</v>
      </c>
      <c r="I139" s="9">
        <v>9.3737622805019183E-2</v>
      </c>
    </row>
    <row r="140" spans="1:9" x14ac:dyDescent="0.25">
      <c r="A140" s="15">
        <v>42720</v>
      </c>
      <c r="B140" s="15">
        <v>42734</v>
      </c>
      <c r="C140" s="15">
        <v>42747</v>
      </c>
      <c r="D140" s="11">
        <v>60</v>
      </c>
      <c r="E140" s="9">
        <v>44.105818242064728</v>
      </c>
      <c r="F140" s="11">
        <v>30</v>
      </c>
      <c r="G140" s="9">
        <v>19.264951290946101</v>
      </c>
      <c r="H140" s="26">
        <v>5</v>
      </c>
      <c r="I140" s="9">
        <v>0.11848991958800167</v>
      </c>
    </row>
    <row r="141" spans="1:9" x14ac:dyDescent="0.25">
      <c r="A141" s="15">
        <v>42734</v>
      </c>
      <c r="B141" s="15">
        <v>42748</v>
      </c>
      <c r="C141" s="15">
        <v>42761</v>
      </c>
      <c r="D141" s="11">
        <v>60</v>
      </c>
      <c r="E141" s="9">
        <v>46.597923708970143</v>
      </c>
      <c r="F141" s="11">
        <v>30</v>
      </c>
      <c r="G141" s="9">
        <v>22.223486586982915</v>
      </c>
      <c r="H141" s="26">
        <v>5</v>
      </c>
      <c r="I141" s="9">
        <v>0.15396485269669213</v>
      </c>
    </row>
    <row r="142" spans="1:9" x14ac:dyDescent="0.25">
      <c r="A142" s="15">
        <v>42748</v>
      </c>
      <c r="B142" s="15">
        <v>42762</v>
      </c>
      <c r="C142" s="15">
        <v>42775</v>
      </c>
      <c r="D142" s="11">
        <v>60</v>
      </c>
      <c r="E142" s="9">
        <v>47.105365534125113</v>
      </c>
      <c r="F142" s="11">
        <v>30</v>
      </c>
      <c r="G142" s="9">
        <v>24.02046507030272</v>
      </c>
      <c r="H142" s="26">
        <v>5</v>
      </c>
      <c r="I142" s="9">
        <v>0.19947316767385143</v>
      </c>
    </row>
    <row r="143" spans="1:9" x14ac:dyDescent="0.25">
      <c r="A143" s="15">
        <v>42762</v>
      </c>
      <c r="B143" s="15">
        <v>42776</v>
      </c>
      <c r="C143" s="15">
        <v>42789</v>
      </c>
      <c r="D143" s="11">
        <v>60</v>
      </c>
      <c r="E143" s="9">
        <v>48.493329045883669</v>
      </c>
      <c r="F143" s="11">
        <v>30</v>
      </c>
      <c r="G143" s="9">
        <v>24.975468524458083</v>
      </c>
      <c r="H143" s="26">
        <v>5</v>
      </c>
      <c r="I143" s="9">
        <v>0.23541489644289429</v>
      </c>
    </row>
    <row r="144" spans="1:9" x14ac:dyDescent="0.25">
      <c r="A144" s="15">
        <v>42776</v>
      </c>
      <c r="B144" s="15">
        <v>42790</v>
      </c>
      <c r="C144" s="15">
        <v>42803</v>
      </c>
      <c r="D144" s="11">
        <v>60</v>
      </c>
      <c r="E144" s="9">
        <v>49.031896876694439</v>
      </c>
      <c r="F144" s="11">
        <v>30</v>
      </c>
      <c r="G144" s="9">
        <v>24.822768546167673</v>
      </c>
      <c r="H144" s="26">
        <v>5</v>
      </c>
      <c r="I144" s="9">
        <v>0.2631051313232326</v>
      </c>
    </row>
    <row r="145" spans="1:9" x14ac:dyDescent="0.25">
      <c r="A145" s="15">
        <v>42790</v>
      </c>
      <c r="B145" s="15">
        <v>42804</v>
      </c>
      <c r="C145" s="15">
        <v>42817</v>
      </c>
      <c r="D145" s="11">
        <v>60</v>
      </c>
      <c r="E145" s="9">
        <v>51.084209831812764</v>
      </c>
      <c r="F145" s="11">
        <v>30</v>
      </c>
      <c r="G145" s="9">
        <v>24.908813776136185</v>
      </c>
      <c r="H145" s="26">
        <v>5</v>
      </c>
      <c r="I145" s="9">
        <v>0.28080069289868698</v>
      </c>
    </row>
    <row r="146" spans="1:9" x14ac:dyDescent="0.25">
      <c r="A146" s="15">
        <v>42804</v>
      </c>
      <c r="B146" s="15">
        <v>42818</v>
      </c>
      <c r="C146" s="15">
        <v>42831</v>
      </c>
      <c r="D146" s="11">
        <v>60</v>
      </c>
      <c r="E146" s="9">
        <v>51.067554613611513</v>
      </c>
      <c r="F146" s="11">
        <v>30</v>
      </c>
      <c r="G146" s="9">
        <v>25.607160805676276</v>
      </c>
      <c r="H146" s="26">
        <v>5</v>
      </c>
      <c r="I146" s="9">
        <v>0.29664704455427393</v>
      </c>
    </row>
    <row r="147" spans="1:9" x14ac:dyDescent="0.25">
      <c r="A147" s="15">
        <v>42818</v>
      </c>
      <c r="B147" s="15">
        <v>42832</v>
      </c>
      <c r="C147" s="15">
        <v>42845</v>
      </c>
      <c r="D147" s="11">
        <v>60</v>
      </c>
      <c r="E147" s="9">
        <v>50.462257715939849</v>
      </c>
      <c r="F147" s="11">
        <v>30</v>
      </c>
      <c r="G147" s="9">
        <v>25.967859731103225</v>
      </c>
      <c r="H147" s="26">
        <v>5</v>
      </c>
      <c r="I147" s="9">
        <v>0.31374904843536067</v>
      </c>
    </row>
    <row r="148" spans="1:9" x14ac:dyDescent="0.25">
      <c r="A148" s="15">
        <v>42832</v>
      </c>
      <c r="B148" s="15">
        <v>42846</v>
      </c>
      <c r="C148" s="15">
        <v>42859</v>
      </c>
      <c r="D148" s="11">
        <v>60</v>
      </c>
      <c r="E148" s="9">
        <v>50.130322352574296</v>
      </c>
      <c r="F148" s="11">
        <v>30</v>
      </c>
      <c r="G148" s="9">
        <v>26.641870868869923</v>
      </c>
      <c r="H148" s="26">
        <v>5</v>
      </c>
      <c r="I148" s="9">
        <v>0.33814667238087315</v>
      </c>
    </row>
    <row r="149" spans="1:9" x14ac:dyDescent="0.25">
      <c r="A149" s="15">
        <v>42846</v>
      </c>
      <c r="B149" s="15">
        <v>42860</v>
      </c>
      <c r="C149" s="15">
        <v>42876</v>
      </c>
      <c r="D149" s="11">
        <v>60</v>
      </c>
      <c r="E149" s="9">
        <v>49.991352097566882</v>
      </c>
      <c r="F149" s="11">
        <v>30</v>
      </c>
      <c r="G149" s="9">
        <v>26.364531491930176</v>
      </c>
      <c r="H149" s="26">
        <v>5</v>
      </c>
      <c r="I149" s="9">
        <v>0.35067616665783391</v>
      </c>
    </row>
    <row r="150" spans="1:9" x14ac:dyDescent="0.25">
      <c r="A150" s="15">
        <v>42860</v>
      </c>
      <c r="B150" s="15">
        <v>42877</v>
      </c>
      <c r="C150" s="15">
        <v>42887</v>
      </c>
      <c r="D150" s="11">
        <v>60</v>
      </c>
      <c r="E150" s="9">
        <v>50.458109152023923</v>
      </c>
      <c r="F150" s="11">
        <v>30</v>
      </c>
      <c r="G150" s="9">
        <v>25.106731826761241</v>
      </c>
      <c r="H150" s="26">
        <v>5</v>
      </c>
      <c r="I150" s="9">
        <v>0.3495600794104895</v>
      </c>
    </row>
    <row r="151" spans="1:9" x14ac:dyDescent="0.25">
      <c r="A151" s="15">
        <v>42873</v>
      </c>
      <c r="B151" s="15">
        <v>42888</v>
      </c>
      <c r="C151" s="15">
        <v>42901</v>
      </c>
      <c r="D151" s="11">
        <v>60</v>
      </c>
      <c r="E151" s="9">
        <v>50.308278226593373</v>
      </c>
      <c r="F151" s="11">
        <v>30</v>
      </c>
      <c r="G151" s="9">
        <v>25.213245247934051</v>
      </c>
      <c r="H151" s="26">
        <v>5</v>
      </c>
      <c r="I151" s="9">
        <v>0.36534054856823783</v>
      </c>
    </row>
    <row r="152" spans="1:9" x14ac:dyDescent="0.25">
      <c r="A152" s="15">
        <v>42888</v>
      </c>
      <c r="B152" s="15">
        <v>42902</v>
      </c>
      <c r="C152" s="15">
        <v>42915</v>
      </c>
      <c r="D152" s="11">
        <v>60</v>
      </c>
      <c r="E152" s="9">
        <v>50.164006389078985</v>
      </c>
      <c r="F152" s="11">
        <v>30</v>
      </c>
      <c r="G152" s="9">
        <v>25.280584743557945</v>
      </c>
      <c r="H152" s="26">
        <v>5</v>
      </c>
      <c r="I152" s="9">
        <v>0.38838609882878267</v>
      </c>
    </row>
    <row r="153" spans="1:9" x14ac:dyDescent="0.25">
      <c r="A153" s="15">
        <v>42902</v>
      </c>
      <c r="B153" s="15">
        <v>42916</v>
      </c>
      <c r="C153" s="15">
        <v>42929</v>
      </c>
      <c r="D153" s="11">
        <v>60</v>
      </c>
      <c r="E153" s="9">
        <v>50.351427628052548</v>
      </c>
      <c r="F153" s="11">
        <v>30</v>
      </c>
      <c r="G153" s="9">
        <v>24.98656091526043</v>
      </c>
      <c r="H153" s="26">
        <v>5</v>
      </c>
      <c r="I153" s="9">
        <v>0.3967356040441149</v>
      </c>
    </row>
    <row r="154" spans="1:9" x14ac:dyDescent="0.25">
      <c r="A154" s="15">
        <v>42916</v>
      </c>
      <c r="B154" s="15">
        <v>42930</v>
      </c>
      <c r="C154" s="15">
        <v>42943</v>
      </c>
      <c r="D154" s="11">
        <v>60</v>
      </c>
      <c r="E154" s="9">
        <v>50.333828125050694</v>
      </c>
      <c r="F154" s="11">
        <v>30</v>
      </c>
      <c r="G154" s="9">
        <v>25.132799645822125</v>
      </c>
      <c r="H154" s="26">
        <v>5</v>
      </c>
      <c r="I154" s="9">
        <v>0.41061420176052249</v>
      </c>
    </row>
    <row r="155" spans="1:9" x14ac:dyDescent="0.25">
      <c r="A155" s="15">
        <v>42930</v>
      </c>
      <c r="B155" s="15">
        <v>42944</v>
      </c>
      <c r="C155" s="15">
        <v>42957</v>
      </c>
      <c r="D155" s="11">
        <v>60</v>
      </c>
      <c r="E155" s="9">
        <v>50.135693132854833</v>
      </c>
      <c r="F155" s="11">
        <v>30</v>
      </c>
      <c r="G155" s="9">
        <v>24.793632842777271</v>
      </c>
      <c r="H155" s="26">
        <v>5</v>
      </c>
      <c r="I155" s="9">
        <v>0.41386032362233599</v>
      </c>
    </row>
    <row r="156" spans="1:9" x14ac:dyDescent="0.25">
      <c r="A156" s="15">
        <v>42944</v>
      </c>
      <c r="B156" s="15">
        <v>42958</v>
      </c>
      <c r="C156" s="15">
        <v>42971</v>
      </c>
      <c r="D156" s="11">
        <v>60</v>
      </c>
      <c r="E156" s="9">
        <v>49.867931653294512</v>
      </c>
      <c r="F156" s="11">
        <v>30</v>
      </c>
      <c r="G156" s="9">
        <v>25.369294809719694</v>
      </c>
      <c r="H156" s="26">
        <v>5</v>
      </c>
      <c r="I156" s="9">
        <v>0.44867637710446007</v>
      </c>
    </row>
    <row r="157" spans="1:9" x14ac:dyDescent="0.25">
      <c r="A157" s="15">
        <v>42958</v>
      </c>
      <c r="B157" s="15">
        <v>42972</v>
      </c>
      <c r="C157" s="15">
        <v>42985</v>
      </c>
      <c r="D157" s="11">
        <v>60</v>
      </c>
      <c r="E157" s="9">
        <v>49.792236540520257</v>
      </c>
      <c r="F157" s="11">
        <v>30</v>
      </c>
      <c r="G157" s="9">
        <v>25.365211677685267</v>
      </c>
      <c r="H157" s="26">
        <v>5</v>
      </c>
      <c r="I157" s="9">
        <v>0.49271773586147294</v>
      </c>
    </row>
    <row r="158" spans="1:9" x14ac:dyDescent="0.25">
      <c r="A158" s="15">
        <v>42972</v>
      </c>
      <c r="B158" s="15">
        <v>42986</v>
      </c>
      <c r="C158" s="15">
        <v>42999</v>
      </c>
      <c r="D158" s="11">
        <v>60</v>
      </c>
      <c r="E158" s="9">
        <v>49.68144840126309</v>
      </c>
      <c r="F158" s="11">
        <v>30</v>
      </c>
      <c r="G158" s="9">
        <v>25.202317223481042</v>
      </c>
      <c r="H158" s="26">
        <v>5</v>
      </c>
      <c r="I158" s="9">
        <v>0.51845415985066334</v>
      </c>
    </row>
    <row r="159" spans="1:9" x14ac:dyDescent="0.25">
      <c r="A159" s="15">
        <v>42986</v>
      </c>
      <c r="B159" s="15">
        <v>43000</v>
      </c>
      <c r="C159" s="15">
        <v>43013</v>
      </c>
      <c r="D159" s="11">
        <v>60</v>
      </c>
      <c r="E159" s="9">
        <v>48.81299121292912</v>
      </c>
      <c r="F159" s="11">
        <v>30</v>
      </c>
      <c r="G159" s="9">
        <v>25.47226942794072</v>
      </c>
      <c r="H159" s="26">
        <v>5</v>
      </c>
      <c r="I159" s="9">
        <v>0.65007245773040734</v>
      </c>
    </row>
    <row r="160" spans="1:9" x14ac:dyDescent="0.25">
      <c r="A160" s="15">
        <v>43000</v>
      </c>
      <c r="B160" s="15">
        <v>43014</v>
      </c>
      <c r="C160" s="15">
        <v>43027</v>
      </c>
      <c r="D160" s="11">
        <v>60</v>
      </c>
      <c r="E160" s="9">
        <v>50.934121520355383</v>
      </c>
      <c r="F160" s="11">
        <v>30</v>
      </c>
      <c r="G160" s="9">
        <v>25.441560798970453</v>
      </c>
      <c r="H160" s="26">
        <v>5</v>
      </c>
      <c r="I160" s="9">
        <v>0.69664253115456143</v>
      </c>
    </row>
    <row r="161" spans="1:9" x14ac:dyDescent="0.25">
      <c r="A161" s="15">
        <v>43014</v>
      </c>
      <c r="B161" s="15">
        <v>43028</v>
      </c>
      <c r="C161" s="15">
        <v>43041</v>
      </c>
      <c r="D161" s="11">
        <v>60</v>
      </c>
      <c r="E161" s="9">
        <v>52.117231081761432</v>
      </c>
      <c r="F161" s="11">
        <v>30</v>
      </c>
      <c r="G161" s="9">
        <v>26.211185538420001</v>
      </c>
      <c r="H161" s="26">
        <v>5</v>
      </c>
      <c r="I161" s="9">
        <v>0.72919116096451198</v>
      </c>
    </row>
    <row r="162" spans="1:9" x14ac:dyDescent="0.25">
      <c r="A162" s="15">
        <v>43028</v>
      </c>
      <c r="B162" s="15">
        <v>43042</v>
      </c>
      <c r="C162" s="15">
        <v>43055</v>
      </c>
      <c r="D162" s="11">
        <v>60</v>
      </c>
      <c r="E162" s="9">
        <v>52.6942678597078</v>
      </c>
      <c r="F162" s="11">
        <v>30</v>
      </c>
      <c r="G162" s="9">
        <v>27.048630621688179</v>
      </c>
      <c r="H162" s="26">
        <v>5</v>
      </c>
      <c r="I162" s="9">
        <v>0.74286566776927199</v>
      </c>
    </row>
    <row r="163" spans="1:9" x14ac:dyDescent="0.25">
      <c r="A163" s="15">
        <v>43042</v>
      </c>
      <c r="B163" s="15">
        <v>43056</v>
      </c>
      <c r="C163" s="15">
        <v>43069</v>
      </c>
      <c r="D163" s="11">
        <v>55</v>
      </c>
      <c r="E163" s="9">
        <v>49.262856524313051</v>
      </c>
      <c r="F163" s="11">
        <v>30</v>
      </c>
      <c r="G163" s="9">
        <v>27.585509264843672</v>
      </c>
      <c r="H163" s="26">
        <v>5</v>
      </c>
      <c r="I163" s="9">
        <v>0.77543599273920627</v>
      </c>
    </row>
    <row r="164" spans="1:9" x14ac:dyDescent="0.25">
      <c r="A164" s="15">
        <v>43056</v>
      </c>
      <c r="B164" s="15">
        <v>43070</v>
      </c>
      <c r="C164" s="15">
        <v>43083</v>
      </c>
      <c r="D164" s="11">
        <v>55</v>
      </c>
      <c r="E164" s="9">
        <v>47.099236830328259</v>
      </c>
      <c r="F164" s="11">
        <v>30</v>
      </c>
      <c r="G164" s="9">
        <v>27.691217555633134</v>
      </c>
      <c r="H164" s="26">
        <v>5</v>
      </c>
      <c r="I164" s="9">
        <v>0.81468328048285044</v>
      </c>
    </row>
    <row r="165" spans="1:9" x14ac:dyDescent="0.25">
      <c r="A165" s="15">
        <v>43070</v>
      </c>
      <c r="B165" s="15">
        <v>43084</v>
      </c>
      <c r="C165" s="15">
        <v>43097</v>
      </c>
      <c r="D165" s="11">
        <v>55</v>
      </c>
      <c r="E165" s="9">
        <v>45.269828158602706</v>
      </c>
      <c r="F165" s="11">
        <v>30</v>
      </c>
      <c r="G165" s="9">
        <v>27.800995960276065</v>
      </c>
      <c r="H165" s="26">
        <v>5</v>
      </c>
      <c r="I165" s="9">
        <v>0.87052965998951126</v>
      </c>
    </row>
    <row r="166" spans="1:9" x14ac:dyDescent="0.25">
      <c r="A166" s="15">
        <v>43084</v>
      </c>
      <c r="B166" s="15">
        <v>43098</v>
      </c>
      <c r="C166" s="15">
        <v>43111</v>
      </c>
      <c r="D166" s="11">
        <v>55</v>
      </c>
      <c r="E166" s="9">
        <v>41.534920218856328</v>
      </c>
      <c r="F166" s="11">
        <v>30</v>
      </c>
      <c r="G166" s="9">
        <v>27.279870996640842</v>
      </c>
      <c r="H166" s="26">
        <v>5</v>
      </c>
      <c r="I166" s="9">
        <v>0.87451555340540499</v>
      </c>
    </row>
    <row r="167" spans="1:9" x14ac:dyDescent="0.25">
      <c r="A167" s="15">
        <v>43098</v>
      </c>
      <c r="B167" s="15">
        <v>43112</v>
      </c>
      <c r="C167" s="15">
        <v>43125</v>
      </c>
      <c r="D167" s="11">
        <v>55</v>
      </c>
      <c r="E167" s="9">
        <v>45.556489881925515</v>
      </c>
      <c r="F167" s="11">
        <v>30</v>
      </c>
      <c r="G167" s="9">
        <v>27.433837234064878</v>
      </c>
      <c r="H167" s="26">
        <v>5</v>
      </c>
      <c r="I167" s="9">
        <v>0.90444780563003846</v>
      </c>
    </row>
    <row r="168" spans="1:9" x14ac:dyDescent="0.25">
      <c r="A168" s="15">
        <v>43112</v>
      </c>
      <c r="B168" s="15">
        <v>43126</v>
      </c>
      <c r="C168" s="15">
        <v>43139</v>
      </c>
      <c r="D168" s="11">
        <v>55</v>
      </c>
      <c r="E168" s="9">
        <v>47.23948487489622</v>
      </c>
      <c r="F168" s="11">
        <v>30</v>
      </c>
      <c r="G168" s="9">
        <v>27.690801363069649</v>
      </c>
      <c r="H168" s="26">
        <v>5</v>
      </c>
      <c r="I168" s="9">
        <v>0.9638438625141601</v>
      </c>
    </row>
    <row r="169" spans="1:9" x14ac:dyDescent="0.25">
      <c r="A169" s="15">
        <v>43126</v>
      </c>
      <c r="B169" s="15">
        <v>43140</v>
      </c>
      <c r="C169" s="15">
        <v>43153</v>
      </c>
      <c r="D169" s="11">
        <v>55</v>
      </c>
      <c r="E169" s="9">
        <v>47.485336745416532</v>
      </c>
      <c r="F169" s="11">
        <v>30</v>
      </c>
      <c r="G169" s="9">
        <v>27.987599978603694</v>
      </c>
      <c r="H169" s="26">
        <v>5</v>
      </c>
      <c r="I169" s="9">
        <v>1.0147128053382688</v>
      </c>
    </row>
    <row r="170" spans="1:9" x14ac:dyDescent="0.25">
      <c r="A170" s="15">
        <v>43140</v>
      </c>
      <c r="B170" s="15">
        <v>43154</v>
      </c>
      <c r="C170" s="15">
        <v>43167</v>
      </c>
      <c r="D170" s="11">
        <v>55</v>
      </c>
      <c r="E170" s="9">
        <v>47.314421946117122</v>
      </c>
      <c r="F170" s="11">
        <v>30</v>
      </c>
      <c r="G170" s="9">
        <v>28.11337329000181</v>
      </c>
      <c r="H170" s="26">
        <v>5</v>
      </c>
      <c r="I170" s="9">
        <v>1.0418495123301719</v>
      </c>
    </row>
    <row r="171" spans="1:9" x14ac:dyDescent="0.25">
      <c r="A171" s="15">
        <v>43154</v>
      </c>
      <c r="B171" s="15">
        <v>43168</v>
      </c>
      <c r="C171" s="15">
        <v>43181</v>
      </c>
      <c r="D171" s="11">
        <v>55</v>
      </c>
      <c r="E171" s="9">
        <v>47.971135525519351</v>
      </c>
      <c r="F171" s="11">
        <v>30</v>
      </c>
      <c r="G171" s="9">
        <v>28.199758095421739</v>
      </c>
      <c r="H171" s="26">
        <v>5</v>
      </c>
      <c r="I171" s="9">
        <v>1.0626280409010769</v>
      </c>
    </row>
    <row r="172" spans="1:9" x14ac:dyDescent="0.25">
      <c r="A172" s="15">
        <v>43168</v>
      </c>
      <c r="B172" s="15">
        <v>43182</v>
      </c>
      <c r="C172" s="15">
        <v>43195</v>
      </c>
      <c r="D172" s="11">
        <v>55</v>
      </c>
      <c r="E172" s="9">
        <v>46.638555748254703</v>
      </c>
      <c r="F172" s="11">
        <v>30</v>
      </c>
      <c r="G172" s="9">
        <v>28.054327829079799</v>
      </c>
      <c r="H172" s="26">
        <v>5</v>
      </c>
      <c r="I172" s="9">
        <v>1.076384266811</v>
      </c>
    </row>
    <row r="173" spans="1:9" x14ac:dyDescent="0.25">
      <c r="A173" s="15">
        <v>43182</v>
      </c>
      <c r="B173" s="15">
        <v>43196</v>
      </c>
      <c r="C173" s="15">
        <v>43209</v>
      </c>
      <c r="D173" s="11">
        <v>55</v>
      </c>
      <c r="E173" s="9">
        <v>45.861530401346144</v>
      </c>
      <c r="F173" s="11">
        <v>30</v>
      </c>
      <c r="G173" s="9">
        <v>28.341788393299321</v>
      </c>
      <c r="H173" s="26">
        <v>5</v>
      </c>
      <c r="I173" s="9">
        <v>1.1179430427509007</v>
      </c>
    </row>
    <row r="174" spans="1:9" x14ac:dyDescent="0.25">
      <c r="A174" s="15">
        <v>43196</v>
      </c>
      <c r="B174" s="15">
        <v>43210</v>
      </c>
      <c r="C174" s="15">
        <v>43223</v>
      </c>
      <c r="D174" s="11">
        <v>55</v>
      </c>
      <c r="E174" s="9">
        <v>46.359424128613149</v>
      </c>
      <c r="F174" s="11">
        <v>30</v>
      </c>
      <c r="G174" s="9">
        <v>28.319424498481442</v>
      </c>
      <c r="H174" s="26">
        <v>5</v>
      </c>
      <c r="I174" s="9">
        <v>1.1279739024000579</v>
      </c>
    </row>
    <row r="175" spans="1:9" x14ac:dyDescent="0.25">
      <c r="A175" s="15">
        <v>43210</v>
      </c>
      <c r="B175" s="15">
        <v>43224</v>
      </c>
      <c r="C175" s="15">
        <v>43237</v>
      </c>
      <c r="D175" s="11">
        <v>45</v>
      </c>
      <c r="E175" s="9">
        <v>41.52</v>
      </c>
      <c r="F175" s="11">
        <v>30</v>
      </c>
      <c r="G175" s="9">
        <v>27.942996811959286</v>
      </c>
      <c r="H175" s="26">
        <v>5</v>
      </c>
      <c r="I175" s="9">
        <v>1.1317812645611758</v>
      </c>
    </row>
    <row r="176" spans="1:9" x14ac:dyDescent="0.25">
      <c r="A176" s="15">
        <v>43224</v>
      </c>
      <c r="B176" s="15">
        <v>43238</v>
      </c>
      <c r="C176" s="15">
        <v>43251</v>
      </c>
      <c r="D176" s="11">
        <v>45</v>
      </c>
      <c r="E176" s="9">
        <v>42.376234051506898</v>
      </c>
      <c r="F176" s="11">
        <v>30</v>
      </c>
      <c r="G176" s="9">
        <v>28.006350401123996</v>
      </c>
      <c r="H176" s="26">
        <v>5</v>
      </c>
      <c r="I176" s="9">
        <v>1.185618643678747</v>
      </c>
    </row>
    <row r="177" spans="1:9" x14ac:dyDescent="0.25">
      <c r="A177" s="15">
        <v>43238</v>
      </c>
      <c r="B177" s="15">
        <v>43252</v>
      </c>
      <c r="C177" s="15">
        <v>43268</v>
      </c>
      <c r="D177" s="11">
        <v>45</v>
      </c>
      <c r="E177" s="9">
        <v>42.038087618437963</v>
      </c>
      <c r="F177" s="11">
        <v>30</v>
      </c>
      <c r="G177" s="9">
        <v>28.517869455807489</v>
      </c>
      <c r="H177" s="26">
        <v>5</v>
      </c>
      <c r="I177" s="9">
        <v>1.2424091587510926</v>
      </c>
    </row>
    <row r="178" spans="1:9" x14ac:dyDescent="0.25">
      <c r="A178" s="15">
        <v>43252</v>
      </c>
      <c r="B178" s="15">
        <v>43269</v>
      </c>
      <c r="C178" s="15">
        <v>43279</v>
      </c>
      <c r="D178" s="11">
        <v>45</v>
      </c>
      <c r="E178" s="9">
        <v>40.630798261957707</v>
      </c>
      <c r="F178" s="11">
        <v>30</v>
      </c>
      <c r="G178" s="9">
        <v>28.60551312717573</v>
      </c>
      <c r="H178" s="26">
        <v>5</v>
      </c>
      <c r="I178" s="9">
        <v>1.3112646272894566</v>
      </c>
    </row>
    <row r="179" spans="1:9" x14ac:dyDescent="0.25">
      <c r="A179" s="15">
        <v>43265</v>
      </c>
      <c r="B179" s="15">
        <v>43280</v>
      </c>
      <c r="C179" s="15">
        <v>43293</v>
      </c>
      <c r="D179" s="11">
        <v>45</v>
      </c>
      <c r="E179" s="9">
        <v>40.206750183037492</v>
      </c>
      <c r="F179" s="11">
        <v>30</v>
      </c>
      <c r="G179" s="9">
        <v>28.176262550677116</v>
      </c>
      <c r="H179" s="26">
        <v>5</v>
      </c>
      <c r="I179" s="9">
        <v>1.3368448868171166</v>
      </c>
    </row>
    <row r="180" spans="1:9" x14ac:dyDescent="0.25">
      <c r="A180" s="15">
        <v>43280</v>
      </c>
      <c r="B180" s="15">
        <v>43294</v>
      </c>
      <c r="C180" s="15">
        <v>43307</v>
      </c>
      <c r="D180" s="11">
        <v>45</v>
      </c>
      <c r="E180" s="9">
        <v>40.712923582496394</v>
      </c>
      <c r="F180" s="11">
        <v>30</v>
      </c>
      <c r="G180" s="9">
        <v>28.018420581609082</v>
      </c>
      <c r="H180" s="26">
        <v>5</v>
      </c>
      <c r="I180" s="9">
        <v>1.3271803019297306</v>
      </c>
    </row>
    <row r="181" spans="1:9" x14ac:dyDescent="0.25">
      <c r="A181" s="15">
        <v>43294</v>
      </c>
      <c r="B181" s="15">
        <v>43308</v>
      </c>
      <c r="C181" s="15">
        <v>43321</v>
      </c>
      <c r="D181" s="11">
        <v>45</v>
      </c>
      <c r="E181" s="9">
        <v>40.538424590163615</v>
      </c>
      <c r="F181" s="11">
        <v>30</v>
      </c>
      <c r="G181" s="9">
        <v>27.444681987733162</v>
      </c>
      <c r="H181" s="26">
        <v>5</v>
      </c>
      <c r="I181" s="9">
        <v>1.3978496017174455</v>
      </c>
    </row>
    <row r="182" spans="1:9" x14ac:dyDescent="0.25">
      <c r="A182" s="15">
        <v>43308</v>
      </c>
      <c r="B182" s="15">
        <v>43322</v>
      </c>
      <c r="C182" s="15">
        <v>43338</v>
      </c>
      <c r="D182" s="11">
        <v>40</v>
      </c>
      <c r="E182" s="9">
        <v>37.307323052934649</v>
      </c>
      <c r="F182" s="11">
        <v>30</v>
      </c>
      <c r="G182" s="9">
        <v>28.8</v>
      </c>
      <c r="H182" s="26">
        <v>5</v>
      </c>
      <c r="I182" s="9">
        <v>1.7412826532077768</v>
      </c>
    </row>
    <row r="183" spans="1:9" x14ac:dyDescent="0.25">
      <c r="A183" s="15">
        <v>43322</v>
      </c>
      <c r="B183" s="15">
        <v>43339</v>
      </c>
      <c r="C183" s="15">
        <v>43349</v>
      </c>
      <c r="D183" s="11">
        <v>40</v>
      </c>
      <c r="E183" s="9">
        <v>34.578696363064843</v>
      </c>
      <c r="F183" s="11">
        <v>30</v>
      </c>
      <c r="G183" s="9">
        <v>28.709498932087911</v>
      </c>
      <c r="H183" s="26">
        <v>5</v>
      </c>
      <c r="I183" s="9">
        <v>2.0457356246349852</v>
      </c>
    </row>
    <row r="184" spans="1:9" x14ac:dyDescent="0.25">
      <c r="A184" s="15">
        <v>43332</v>
      </c>
      <c r="B184" s="15">
        <v>43350</v>
      </c>
      <c r="C184" s="15">
        <v>43363</v>
      </c>
      <c r="D184" s="11">
        <v>40</v>
      </c>
      <c r="E184" s="9">
        <v>30.562677324633281</v>
      </c>
      <c r="F184" s="11">
        <v>30</v>
      </c>
      <c r="G184" s="9">
        <v>27.35570387868917</v>
      </c>
      <c r="H184" s="26">
        <v>5</v>
      </c>
      <c r="I184" s="9">
        <v>2.1514006844129039</v>
      </c>
    </row>
    <row r="185" spans="1:9" x14ac:dyDescent="0.25">
      <c r="A185" s="15">
        <v>43350</v>
      </c>
      <c r="B185" s="15">
        <v>43364</v>
      </c>
      <c r="C185" s="15">
        <v>43377</v>
      </c>
      <c r="D185" s="11">
        <v>40</v>
      </c>
      <c r="E185" s="9">
        <v>28.504952526506404</v>
      </c>
      <c r="F185" s="11">
        <v>30</v>
      </c>
      <c r="G185" s="9">
        <v>27.73899560293134</v>
      </c>
      <c r="H185" s="26">
        <v>5</v>
      </c>
      <c r="I185" s="9">
        <v>2.3946230257303482</v>
      </c>
    </row>
    <row r="186" spans="1:9" x14ac:dyDescent="0.25">
      <c r="A186" s="15">
        <v>43364</v>
      </c>
      <c r="B186" s="15">
        <v>43378</v>
      </c>
      <c r="C186" s="15">
        <v>43391</v>
      </c>
      <c r="D186" s="11">
        <v>40</v>
      </c>
      <c r="E186" s="9">
        <v>28.030412498949431</v>
      </c>
      <c r="F186" s="11">
        <v>30</v>
      </c>
      <c r="G186" s="9">
        <v>26.034085594552579</v>
      </c>
      <c r="H186" s="26">
        <v>5</v>
      </c>
      <c r="I186" s="9">
        <v>2.3436997088923124</v>
      </c>
    </row>
    <row r="187" spans="1:9" x14ac:dyDescent="0.25">
      <c r="A187" s="15">
        <v>43378</v>
      </c>
      <c r="B187" s="15">
        <v>43392</v>
      </c>
      <c r="C187" s="15">
        <v>43405</v>
      </c>
      <c r="D187" s="11">
        <v>40</v>
      </c>
      <c r="E187" s="9">
        <v>30.652411285478802</v>
      </c>
      <c r="F187" s="11">
        <v>30</v>
      </c>
      <c r="G187" s="9">
        <v>26.188071355361821</v>
      </c>
      <c r="H187" s="26">
        <v>5</v>
      </c>
      <c r="I187" s="9">
        <v>2.3295595012398476</v>
      </c>
    </row>
    <row r="188" spans="1:9" x14ac:dyDescent="0.25">
      <c r="A188" s="15">
        <v>43392</v>
      </c>
      <c r="B188" s="15">
        <v>43406</v>
      </c>
      <c r="C188" s="15">
        <v>43419</v>
      </c>
      <c r="D188" s="11">
        <v>40</v>
      </c>
      <c r="E188" s="9">
        <v>31.203295068148069</v>
      </c>
      <c r="F188" s="11">
        <v>30</v>
      </c>
      <c r="G188" s="9">
        <v>25.856254116629003</v>
      </c>
      <c r="H188" s="26">
        <v>5</v>
      </c>
      <c r="I188" s="9">
        <v>2.2173331339698192</v>
      </c>
    </row>
    <row r="189" spans="1:9" x14ac:dyDescent="0.25">
      <c r="A189" s="15">
        <v>43406</v>
      </c>
      <c r="B189" s="15">
        <v>43420</v>
      </c>
      <c r="C189" s="15">
        <v>43433</v>
      </c>
      <c r="D189" s="11">
        <v>40</v>
      </c>
      <c r="E189" s="9">
        <v>34.536093392171352</v>
      </c>
      <c r="F189" s="11">
        <v>30</v>
      </c>
      <c r="G189" s="9">
        <v>27.682064849261405</v>
      </c>
      <c r="H189" s="26">
        <v>5</v>
      </c>
      <c r="I189" s="9">
        <v>2.2674107666218863</v>
      </c>
    </row>
    <row r="190" spans="1:9" x14ac:dyDescent="0.25">
      <c r="A190" s="15">
        <v>43420</v>
      </c>
      <c r="B190" s="15">
        <v>43434</v>
      </c>
      <c r="C190" s="15">
        <v>43447</v>
      </c>
      <c r="D190" s="11">
        <v>40</v>
      </c>
      <c r="E190" s="9">
        <v>35.526544806170243</v>
      </c>
      <c r="F190" s="11">
        <v>30</v>
      </c>
      <c r="G190" s="9">
        <v>27.134163159846686</v>
      </c>
      <c r="H190" s="26">
        <v>5</v>
      </c>
      <c r="I190" s="9">
        <v>2.2320687086243081</v>
      </c>
    </row>
    <row r="191" spans="1:9" x14ac:dyDescent="0.25">
      <c r="A191" s="15">
        <v>43434</v>
      </c>
      <c r="B191" s="15">
        <v>43448</v>
      </c>
      <c r="C191" s="15">
        <v>43461</v>
      </c>
      <c r="D191" s="11">
        <v>40</v>
      </c>
      <c r="E191" s="9">
        <v>36.385030962921547</v>
      </c>
      <c r="F191" s="11">
        <v>30</v>
      </c>
      <c r="G191" s="9">
        <v>27.375051249019442</v>
      </c>
      <c r="H191" s="26">
        <v>5</v>
      </c>
      <c r="I191" s="9">
        <v>2.2911144062107178</v>
      </c>
    </row>
    <row r="192" spans="1:9" x14ac:dyDescent="0.25">
      <c r="A192" s="15">
        <v>43448</v>
      </c>
      <c r="B192" s="15">
        <v>43462</v>
      </c>
      <c r="C192" s="15">
        <v>43475</v>
      </c>
      <c r="D192" s="11">
        <v>40</v>
      </c>
      <c r="E192" s="9">
        <v>37.004448055304337</v>
      </c>
      <c r="F192" s="11">
        <v>30</v>
      </c>
      <c r="G192" s="9">
        <v>27.63207286872597</v>
      </c>
      <c r="H192" s="39">
        <v>5</v>
      </c>
      <c r="I192" s="9">
        <v>2.4062401595645388</v>
      </c>
    </row>
    <row r="193" spans="1:9" x14ac:dyDescent="0.25">
      <c r="A193" s="15">
        <v>43462</v>
      </c>
      <c r="B193" s="15">
        <v>43476</v>
      </c>
      <c r="C193" s="15">
        <v>43489</v>
      </c>
      <c r="D193" s="11">
        <v>40</v>
      </c>
      <c r="E193" s="9">
        <v>37.431839032675107</v>
      </c>
      <c r="F193" s="11">
        <v>30</v>
      </c>
      <c r="G193" s="9">
        <v>28.024128631166267</v>
      </c>
      <c r="H193" s="11">
        <v>5</v>
      </c>
      <c r="I193" s="9">
        <v>2.4447127566798859</v>
      </c>
    </row>
    <row r="194" spans="1:9" x14ac:dyDescent="0.25">
      <c r="A194" s="15">
        <v>43476</v>
      </c>
      <c r="B194" s="15">
        <v>43490</v>
      </c>
      <c r="C194" s="15">
        <v>43503</v>
      </c>
      <c r="D194" s="11">
        <v>40</v>
      </c>
      <c r="E194" s="9">
        <v>39.527895278477267</v>
      </c>
      <c r="F194" s="11">
        <v>30</v>
      </c>
      <c r="G194" s="9">
        <v>28.557850884866014</v>
      </c>
      <c r="H194" s="11">
        <v>5</v>
      </c>
      <c r="I194" s="9">
        <v>2.6450066055208969</v>
      </c>
    </row>
    <row r="195" spans="1:9" x14ac:dyDescent="0.25">
      <c r="A195" s="15">
        <v>43490</v>
      </c>
      <c r="B195" s="15">
        <v>43504</v>
      </c>
      <c r="C195" s="15">
        <v>43517</v>
      </c>
      <c r="D195" s="11">
        <v>40</v>
      </c>
      <c r="E195" s="9">
        <v>39.325928723123532</v>
      </c>
      <c r="F195" s="11">
        <v>30</v>
      </c>
      <c r="G195" s="9">
        <v>28.421351800517673</v>
      </c>
      <c r="H195" s="11">
        <v>5</v>
      </c>
      <c r="I195" s="9">
        <v>2.5927499748627394</v>
      </c>
    </row>
    <row r="196" spans="1:9" x14ac:dyDescent="0.25">
      <c r="A196" s="15">
        <v>43504</v>
      </c>
      <c r="B196" s="15">
        <v>43518</v>
      </c>
      <c r="C196" s="15">
        <v>43531</v>
      </c>
      <c r="D196" s="11">
        <v>40</v>
      </c>
      <c r="E196" s="9">
        <v>39.503866232563126</v>
      </c>
      <c r="F196" s="11">
        <v>30</v>
      </c>
      <c r="G196" s="9">
        <v>28.800908619488887</v>
      </c>
      <c r="H196" s="11">
        <v>5</v>
      </c>
      <c r="I196" s="9">
        <v>2.8435960470798167</v>
      </c>
    </row>
    <row r="197" spans="1:9" x14ac:dyDescent="0.25">
      <c r="A197" s="15">
        <v>43518</v>
      </c>
      <c r="B197" s="15">
        <v>43532</v>
      </c>
      <c r="C197" s="15">
        <v>43545</v>
      </c>
      <c r="D197" s="11">
        <v>40</v>
      </c>
      <c r="E197" s="9">
        <v>39.434378518465685</v>
      </c>
      <c r="F197" s="11">
        <v>30</v>
      </c>
      <c r="G197" s="9">
        <v>29.208896026037838</v>
      </c>
      <c r="H197" s="11">
        <v>10</v>
      </c>
      <c r="I197" s="9">
        <v>3.8055185502655924</v>
      </c>
    </row>
    <row r="198" spans="1:9" x14ac:dyDescent="0.25">
      <c r="A198" s="15">
        <v>43532</v>
      </c>
      <c r="B198" s="15">
        <v>43546</v>
      </c>
      <c r="C198" s="15">
        <v>43559</v>
      </c>
      <c r="D198" s="11">
        <v>40</v>
      </c>
      <c r="E198" s="9">
        <v>39.533155996317127</v>
      </c>
      <c r="F198" s="11">
        <v>30</v>
      </c>
      <c r="G198" s="9">
        <v>29.238852044668771</v>
      </c>
      <c r="H198" s="11">
        <v>10</v>
      </c>
      <c r="I198" s="9">
        <v>3.9795457847115112</v>
      </c>
    </row>
    <row r="199" spans="1:9" x14ac:dyDescent="0.25">
      <c r="A199" s="15">
        <v>43546</v>
      </c>
      <c r="B199" s="15">
        <v>43560</v>
      </c>
      <c r="C199" s="15">
        <v>43573</v>
      </c>
      <c r="D199" s="11">
        <v>40</v>
      </c>
      <c r="E199" s="9">
        <v>39.456527840067409</v>
      </c>
      <c r="F199" s="11">
        <v>30</v>
      </c>
      <c r="G199" s="9">
        <v>29.111912032140637</v>
      </c>
      <c r="H199" s="11">
        <v>10</v>
      </c>
      <c r="I199" s="9">
        <v>4.2140819677133035</v>
      </c>
    </row>
    <row r="200" spans="1:9" x14ac:dyDescent="0.25">
      <c r="A200" s="15">
        <v>43560</v>
      </c>
      <c r="B200" s="15">
        <v>43574</v>
      </c>
      <c r="C200" s="15">
        <v>43587</v>
      </c>
      <c r="D200" s="11">
        <v>40</v>
      </c>
      <c r="E200" s="9">
        <v>39.543290271154625</v>
      </c>
      <c r="F200" s="11">
        <v>30</v>
      </c>
      <c r="G200" s="9">
        <v>29.212923696128396</v>
      </c>
      <c r="H200" s="11">
        <v>10</v>
      </c>
      <c r="I200" s="9">
        <v>4.6239301605582508</v>
      </c>
    </row>
    <row r="201" spans="1:9" x14ac:dyDescent="0.25">
      <c r="A201" s="15">
        <v>43574</v>
      </c>
      <c r="B201" s="15">
        <v>43588</v>
      </c>
      <c r="C201" s="15">
        <v>43601</v>
      </c>
      <c r="D201" s="11">
        <v>40</v>
      </c>
      <c r="E201" s="9">
        <v>39.513146370675052</v>
      </c>
      <c r="F201" s="11">
        <v>30</v>
      </c>
      <c r="G201" s="9">
        <v>29.174065095013951</v>
      </c>
      <c r="H201" s="11">
        <v>10</v>
      </c>
      <c r="I201" s="9">
        <v>4.8065696126525923</v>
      </c>
    </row>
    <row r="202" spans="1:9" x14ac:dyDescent="0.25">
      <c r="A202" s="15">
        <v>43588</v>
      </c>
      <c r="B202" s="15">
        <v>43602</v>
      </c>
      <c r="C202" s="15">
        <v>43615</v>
      </c>
      <c r="D202" s="11">
        <v>30</v>
      </c>
      <c r="E202" s="9">
        <v>29.71745754096295</v>
      </c>
      <c r="F202" s="11">
        <v>30</v>
      </c>
      <c r="G202" s="9">
        <v>29.282228859548731</v>
      </c>
      <c r="H202" s="11">
        <v>10</v>
      </c>
      <c r="I202" s="9">
        <v>5.029825685536526</v>
      </c>
    </row>
    <row r="203" spans="1:9" x14ac:dyDescent="0.25">
      <c r="A203" s="15">
        <v>43602</v>
      </c>
      <c r="B203" s="15">
        <v>43616</v>
      </c>
      <c r="C203" s="15">
        <v>43629</v>
      </c>
      <c r="D203" s="11">
        <v>30</v>
      </c>
      <c r="E203" s="9">
        <v>29.595052610109857</v>
      </c>
      <c r="F203" s="11">
        <v>30</v>
      </c>
      <c r="G203" s="9">
        <v>29.32469663691732</v>
      </c>
      <c r="H203" s="11">
        <v>10</v>
      </c>
      <c r="I203" s="9">
        <v>5.3463718733919352</v>
      </c>
    </row>
    <row r="204" spans="1:9" x14ac:dyDescent="0.25">
      <c r="A204" s="15">
        <v>43616</v>
      </c>
      <c r="B204" s="15">
        <v>43630</v>
      </c>
      <c r="C204" s="15">
        <v>43643</v>
      </c>
      <c r="D204" s="11">
        <v>30</v>
      </c>
      <c r="E204" s="9">
        <v>29.697792472281666</v>
      </c>
      <c r="F204" s="11">
        <v>30</v>
      </c>
      <c r="G204" s="9">
        <v>29.128989942727792</v>
      </c>
      <c r="H204" s="11">
        <v>10</v>
      </c>
      <c r="I204" s="9">
        <v>5.2954184005982423</v>
      </c>
    </row>
    <row r="205" spans="1:9" x14ac:dyDescent="0.25">
      <c r="A205" s="15">
        <v>43630</v>
      </c>
      <c r="B205" s="15">
        <v>43644</v>
      </c>
      <c r="C205" s="15">
        <v>43657</v>
      </c>
      <c r="D205" s="11">
        <v>30</v>
      </c>
      <c r="E205" s="9">
        <v>29.721116321165624</v>
      </c>
      <c r="F205" s="11">
        <v>30</v>
      </c>
      <c r="G205" s="9">
        <v>29.461333636712283</v>
      </c>
      <c r="H205" s="11">
        <v>10</v>
      </c>
      <c r="I205" s="9">
        <v>5.6294221715331032</v>
      </c>
    </row>
    <row r="206" spans="1:9" x14ac:dyDescent="0.25">
      <c r="A206" s="15">
        <v>43644</v>
      </c>
      <c r="B206" s="15">
        <v>43658</v>
      </c>
      <c r="C206" s="15">
        <v>43671</v>
      </c>
      <c r="D206" s="11">
        <v>30</v>
      </c>
      <c r="E206" s="9">
        <v>29.672593299974537</v>
      </c>
      <c r="F206" s="11">
        <v>30</v>
      </c>
      <c r="G206" s="9">
        <v>29.373136856707472</v>
      </c>
      <c r="H206" s="11">
        <v>10</v>
      </c>
      <c r="I206" s="9">
        <v>5.6690733528563761</v>
      </c>
    </row>
    <row r="207" spans="1:9" x14ac:dyDescent="0.25">
      <c r="A207" s="15">
        <v>43658</v>
      </c>
      <c r="B207" s="15">
        <v>43672</v>
      </c>
      <c r="C207" s="15">
        <v>43685</v>
      </c>
      <c r="D207" s="11">
        <v>30</v>
      </c>
      <c r="E207" s="9">
        <v>29.62967789508172</v>
      </c>
      <c r="F207" s="11">
        <v>30</v>
      </c>
      <c r="G207" s="9">
        <v>29.075718370240779</v>
      </c>
      <c r="H207" s="11">
        <v>10</v>
      </c>
      <c r="I207" s="9">
        <v>5.7552688729239811</v>
      </c>
    </row>
    <row r="208" spans="1:9" x14ac:dyDescent="0.25">
      <c r="A208" s="15">
        <v>43672</v>
      </c>
      <c r="B208" s="15">
        <v>43686</v>
      </c>
      <c r="C208" s="15">
        <v>43699</v>
      </c>
      <c r="D208" s="11">
        <v>30</v>
      </c>
      <c r="E208" s="9">
        <v>29.672791063944121</v>
      </c>
      <c r="F208" s="11">
        <v>30</v>
      </c>
      <c r="G208" s="9">
        <v>28.866070832679334</v>
      </c>
      <c r="H208" s="11">
        <v>10</v>
      </c>
      <c r="I208" s="9">
        <v>5.8548309395300846</v>
      </c>
    </row>
    <row r="209" spans="1:10" x14ac:dyDescent="0.25">
      <c r="A209" s="15">
        <v>43686</v>
      </c>
      <c r="B209" s="15">
        <v>43700</v>
      </c>
      <c r="C209" s="15">
        <v>43713</v>
      </c>
      <c r="D209" s="11">
        <v>30</v>
      </c>
      <c r="E209" s="9">
        <v>28.859222129875945</v>
      </c>
      <c r="F209" s="11">
        <v>30</v>
      </c>
      <c r="G209" s="9">
        <v>28.921876554538834</v>
      </c>
      <c r="H209" s="11">
        <v>10</v>
      </c>
      <c r="I209" s="9">
        <v>5.4864424776821688</v>
      </c>
    </row>
    <row r="210" spans="1:10" x14ac:dyDescent="0.25">
      <c r="A210" s="15">
        <v>43700</v>
      </c>
      <c r="B210" s="15">
        <v>43714</v>
      </c>
      <c r="C210" s="15">
        <v>43727</v>
      </c>
      <c r="D210" s="11">
        <v>30</v>
      </c>
      <c r="E210" s="9">
        <v>28.928900307525989</v>
      </c>
      <c r="F210" s="11">
        <v>30</v>
      </c>
      <c r="G210" s="9">
        <v>29.086343955748895</v>
      </c>
      <c r="H210" s="11">
        <v>10</v>
      </c>
      <c r="I210" s="9">
        <v>5.8527235946410396</v>
      </c>
    </row>
    <row r="211" spans="1:10" x14ac:dyDescent="0.25">
      <c r="A211" s="15">
        <v>43714</v>
      </c>
      <c r="B211" s="15">
        <v>43728</v>
      </c>
      <c r="C211" s="15">
        <v>43741</v>
      </c>
      <c r="D211" s="11">
        <v>30</v>
      </c>
      <c r="E211" s="9">
        <v>28.842914767249155</v>
      </c>
      <c r="F211" s="11">
        <v>30</v>
      </c>
      <c r="G211" s="9">
        <v>28.986032546204616</v>
      </c>
      <c r="H211" s="11">
        <v>10</v>
      </c>
      <c r="I211" s="9">
        <v>5.8983374531968709</v>
      </c>
    </row>
    <row r="212" spans="1:10" x14ac:dyDescent="0.25">
      <c r="A212" s="15">
        <v>43728</v>
      </c>
      <c r="B212" s="15">
        <v>43742</v>
      </c>
      <c r="C212" s="15">
        <v>43755</v>
      </c>
      <c r="D212" s="11">
        <v>30</v>
      </c>
      <c r="E212" s="9">
        <v>29.043173165129428</v>
      </c>
      <c r="F212" s="11">
        <v>30</v>
      </c>
      <c r="G212" s="9">
        <v>28.961560039881245</v>
      </c>
      <c r="H212" s="11">
        <v>10</v>
      </c>
      <c r="I212" s="9">
        <v>5.9361493735140947</v>
      </c>
    </row>
    <row r="213" spans="1:10" x14ac:dyDescent="0.25">
      <c r="A213" s="15">
        <v>43742</v>
      </c>
      <c r="B213" s="15">
        <v>43756</v>
      </c>
      <c r="C213" s="15">
        <v>43769</v>
      </c>
      <c r="D213" s="11">
        <v>30</v>
      </c>
      <c r="E213" s="9">
        <v>29.112303498349977</v>
      </c>
      <c r="F213" s="11">
        <v>30</v>
      </c>
      <c r="G213" s="9">
        <v>28.951271366939718</v>
      </c>
      <c r="H213" s="11">
        <v>10</v>
      </c>
      <c r="I213" s="9">
        <v>6.2097207394333926</v>
      </c>
    </row>
    <row r="214" spans="1:10" x14ac:dyDescent="0.25">
      <c r="A214" s="15">
        <v>43756</v>
      </c>
      <c r="B214" s="15">
        <v>43770</v>
      </c>
      <c r="C214" s="15">
        <v>43783</v>
      </c>
      <c r="D214" s="11">
        <v>30</v>
      </c>
      <c r="E214" s="9">
        <v>28.955904845607851</v>
      </c>
      <c r="F214" s="11">
        <v>30</v>
      </c>
      <c r="G214" s="9">
        <v>28.356611585867281</v>
      </c>
      <c r="H214" s="11">
        <v>10</v>
      </c>
      <c r="I214" s="9">
        <v>6.7253553692652606</v>
      </c>
      <c r="J214" s="39"/>
    </row>
    <row r="215" spans="1:10" x14ac:dyDescent="0.25">
      <c r="A215" s="15">
        <v>43770</v>
      </c>
      <c r="B215" s="15">
        <v>43784</v>
      </c>
      <c r="C215" s="15">
        <v>43797</v>
      </c>
      <c r="D215" s="11">
        <v>30</v>
      </c>
      <c r="E215" s="9">
        <v>29.555327322717499</v>
      </c>
      <c r="F215" s="11">
        <v>30</v>
      </c>
      <c r="G215" s="9">
        <v>28.221195795711303</v>
      </c>
      <c r="H215" s="11">
        <v>10</v>
      </c>
      <c r="I215" s="9">
        <v>6.7075612598094372</v>
      </c>
      <c r="J215" s="43"/>
    </row>
    <row r="216" spans="1:10" x14ac:dyDescent="0.25">
      <c r="A216" s="15">
        <v>43784</v>
      </c>
      <c r="B216" s="15">
        <v>43798</v>
      </c>
      <c r="C216" s="15">
        <v>43811</v>
      </c>
      <c r="D216" s="11">
        <v>30</v>
      </c>
      <c r="E216" s="9">
        <v>29.482955754592282</v>
      </c>
      <c r="F216" s="11">
        <v>30</v>
      </c>
      <c r="G216" s="9">
        <v>28.824244012901207</v>
      </c>
      <c r="H216" s="11">
        <v>10</v>
      </c>
      <c r="I216" s="9">
        <v>7.2113748329016873</v>
      </c>
      <c r="J216" s="39"/>
    </row>
    <row r="217" spans="1:10" x14ac:dyDescent="0.25">
      <c r="A217" s="15">
        <v>43798</v>
      </c>
      <c r="B217" s="15">
        <v>43812</v>
      </c>
      <c r="C217" s="15">
        <v>43825</v>
      </c>
      <c r="D217" s="11">
        <v>30</v>
      </c>
      <c r="E217" s="9">
        <v>29.453732911998877</v>
      </c>
      <c r="F217" s="11">
        <v>30</v>
      </c>
      <c r="G217" s="9">
        <v>28.608930989814091</v>
      </c>
      <c r="H217" s="11">
        <v>10</v>
      </c>
      <c r="I217" s="9">
        <v>8.0447944047202853</v>
      </c>
      <c r="J217" s="39"/>
    </row>
    <row r="218" spans="1:10" x14ac:dyDescent="0.25">
      <c r="A218" s="15">
        <v>43812</v>
      </c>
      <c r="B218" s="15">
        <v>43826</v>
      </c>
      <c r="C218" s="15">
        <v>43839</v>
      </c>
      <c r="D218" s="11">
        <v>30</v>
      </c>
      <c r="E218" s="9">
        <v>29.483167376504653</v>
      </c>
      <c r="F218" s="11">
        <v>30</v>
      </c>
      <c r="G218" s="9">
        <v>28.637547172954285</v>
      </c>
      <c r="H218" s="11">
        <v>10</v>
      </c>
      <c r="I218" s="9">
        <v>8.1584794757328112</v>
      </c>
      <c r="J218" s="39"/>
    </row>
    <row r="219" spans="1:10" x14ac:dyDescent="0.25">
      <c r="A219" s="15">
        <v>43826</v>
      </c>
      <c r="B219" s="15">
        <v>43840</v>
      </c>
      <c r="C219" s="15">
        <v>43853</v>
      </c>
      <c r="D219" s="11">
        <v>30</v>
      </c>
      <c r="E219" s="9">
        <v>29.446268852529005</v>
      </c>
      <c r="F219" s="11">
        <v>30</v>
      </c>
      <c r="G219" s="9">
        <v>28.643472010838767</v>
      </c>
      <c r="H219" s="11">
        <v>10</v>
      </c>
      <c r="I219" s="9">
        <v>8.184503212565625</v>
      </c>
      <c r="J219" s="39"/>
    </row>
    <row r="220" spans="1:10" x14ac:dyDescent="0.25">
      <c r="A220" s="15">
        <v>43840</v>
      </c>
      <c r="B220" s="15">
        <v>43854</v>
      </c>
      <c r="C220" s="15">
        <v>43867</v>
      </c>
      <c r="D220" s="11">
        <v>30</v>
      </c>
      <c r="E220" s="9">
        <v>29.702779211762508</v>
      </c>
      <c r="F220" s="11">
        <v>20</v>
      </c>
      <c r="G220" s="9">
        <v>19.553654117308529</v>
      </c>
      <c r="H220" s="11">
        <v>15</v>
      </c>
      <c r="I220" s="9">
        <v>9.4052740839779041</v>
      </c>
      <c r="J220" s="39"/>
    </row>
    <row r="221" spans="1:10" x14ac:dyDescent="0.25">
      <c r="A221" s="15">
        <v>43854</v>
      </c>
      <c r="B221" s="15">
        <v>43868</v>
      </c>
      <c r="C221" s="15">
        <v>43881</v>
      </c>
      <c r="D221" s="11">
        <v>30</v>
      </c>
      <c r="E221" s="9">
        <v>29.517395683598945</v>
      </c>
      <c r="F221" s="11">
        <v>20</v>
      </c>
      <c r="G221" s="9">
        <v>19.278642652259165</v>
      </c>
      <c r="H221" s="11">
        <v>15</v>
      </c>
      <c r="I221" s="9">
        <v>9.5576683732525876</v>
      </c>
      <c r="J221" s="39"/>
    </row>
    <row r="222" spans="1:10" x14ac:dyDescent="0.25">
      <c r="A222" s="15">
        <v>43868</v>
      </c>
      <c r="B222" s="15">
        <v>43882</v>
      </c>
      <c r="C222" s="15">
        <v>43895</v>
      </c>
      <c r="D222" s="11">
        <v>30</v>
      </c>
      <c r="E222" s="9">
        <v>29.651112353344327</v>
      </c>
      <c r="F222" s="11">
        <v>20</v>
      </c>
      <c r="G222" s="9">
        <v>19.411667791669942</v>
      </c>
      <c r="H222" s="11">
        <v>15</v>
      </c>
      <c r="I222" s="9">
        <v>9.0379632040705751</v>
      </c>
      <c r="J222" s="39"/>
    </row>
    <row r="223" spans="1:10" x14ac:dyDescent="0.25">
      <c r="A223" s="15">
        <v>43882</v>
      </c>
      <c r="B223" s="15">
        <v>43896</v>
      </c>
      <c r="C223" s="15">
        <v>43909</v>
      </c>
      <c r="D223" s="11">
        <v>30</v>
      </c>
      <c r="E223" s="9">
        <v>29.764298180484865</v>
      </c>
      <c r="F223" s="11">
        <v>20</v>
      </c>
      <c r="G223" s="9">
        <v>19.635132984556336</v>
      </c>
      <c r="H223" s="11">
        <v>15</v>
      </c>
      <c r="I223" s="9">
        <v>8.1249641165623157</v>
      </c>
      <c r="J223" s="39"/>
    </row>
    <row r="224" spans="1:10" x14ac:dyDescent="0.25">
      <c r="A224" s="15">
        <v>43896</v>
      </c>
      <c r="B224" s="15">
        <v>43910</v>
      </c>
      <c r="C224" s="15">
        <v>43923</v>
      </c>
      <c r="D224" s="11">
        <v>30</v>
      </c>
      <c r="E224" s="9">
        <v>29.77829844664182</v>
      </c>
      <c r="F224" s="11">
        <v>20</v>
      </c>
      <c r="G224" s="9">
        <v>19.67164591783153</v>
      </c>
      <c r="H224" s="11">
        <v>15</v>
      </c>
      <c r="I224" s="9">
        <v>8.0249756645690535</v>
      </c>
      <c r="J224" s="39"/>
    </row>
    <row r="225" spans="1:10" x14ac:dyDescent="0.25">
      <c r="A225" s="15">
        <v>43910</v>
      </c>
      <c r="B225" s="15">
        <v>43924</v>
      </c>
      <c r="C225" s="15">
        <v>43937</v>
      </c>
      <c r="D225" s="11">
        <v>30</v>
      </c>
      <c r="E225" s="9">
        <v>29.619939908179006</v>
      </c>
      <c r="F225" s="11">
        <v>20</v>
      </c>
      <c r="G225" s="9">
        <v>19.309453557767952</v>
      </c>
      <c r="H225" s="11">
        <v>15</v>
      </c>
      <c r="I225" s="9">
        <v>7.7183887262816313</v>
      </c>
      <c r="J225" s="39"/>
    </row>
    <row r="226" spans="1:10" x14ac:dyDescent="0.25">
      <c r="A226" s="15">
        <v>43924</v>
      </c>
      <c r="B226" s="15">
        <v>43938</v>
      </c>
      <c r="C226" s="15">
        <v>43954</v>
      </c>
      <c r="D226" s="11">
        <v>30</v>
      </c>
      <c r="E226" s="9">
        <v>29.60652379223756</v>
      </c>
      <c r="F226" s="11">
        <v>20</v>
      </c>
      <c r="G226" s="9">
        <v>19.240932759309139</v>
      </c>
      <c r="H226" s="11">
        <v>15</v>
      </c>
      <c r="I226" s="9">
        <v>8.7267503215738707</v>
      </c>
      <c r="J226" s="39"/>
    </row>
    <row r="227" spans="1:10" x14ac:dyDescent="0.25">
      <c r="A227" s="15">
        <v>43938</v>
      </c>
      <c r="B227" s="15">
        <v>43955</v>
      </c>
      <c r="C227" s="15">
        <v>43965</v>
      </c>
      <c r="D227" s="11">
        <v>30</v>
      </c>
      <c r="E227" s="9">
        <v>29.063213860966719</v>
      </c>
      <c r="F227" s="11">
        <v>20</v>
      </c>
      <c r="G227" s="9">
        <v>18.710140684780903</v>
      </c>
      <c r="H227" s="11">
        <v>15</v>
      </c>
      <c r="I227" s="9">
        <v>9.2373733848348838</v>
      </c>
      <c r="J227" s="39"/>
    </row>
    <row r="228" spans="1:10" x14ac:dyDescent="0.25">
      <c r="A228" s="15">
        <v>43951</v>
      </c>
      <c r="B228" s="15">
        <v>43966</v>
      </c>
      <c r="C228" s="15">
        <v>43979</v>
      </c>
      <c r="D228" s="11">
        <v>30</v>
      </c>
      <c r="E228" s="9">
        <v>27.85700881018856</v>
      </c>
      <c r="F228" s="11">
        <v>20</v>
      </c>
      <c r="G228" s="9">
        <v>18.220337325798344</v>
      </c>
      <c r="H228" s="11">
        <v>15</v>
      </c>
      <c r="I228" s="9">
        <v>8.6520355749945566</v>
      </c>
      <c r="J228" s="39"/>
    </row>
    <row r="229" spans="1:10" x14ac:dyDescent="0.25">
      <c r="A229" s="15">
        <v>43966</v>
      </c>
      <c r="B229" s="15">
        <v>43980</v>
      </c>
      <c r="C229" s="15">
        <v>43993</v>
      </c>
      <c r="D229" s="11">
        <v>30</v>
      </c>
      <c r="E229" s="9">
        <v>27.770541595161102</v>
      </c>
      <c r="F229" s="11">
        <v>20</v>
      </c>
      <c r="G229" s="9">
        <v>18.029457247749114</v>
      </c>
      <c r="H229" s="11">
        <v>15</v>
      </c>
      <c r="I229" s="9">
        <v>8.6279224474446004</v>
      </c>
      <c r="J229" s="39"/>
    </row>
    <row r="230" spans="1:10" x14ac:dyDescent="0.25">
      <c r="A230" s="15">
        <v>43980</v>
      </c>
      <c r="B230" s="15">
        <v>43994</v>
      </c>
      <c r="C230" s="15">
        <v>44007</v>
      </c>
      <c r="D230" s="11">
        <v>30</v>
      </c>
      <c r="E230" s="9">
        <v>27.907494108307539</v>
      </c>
      <c r="F230" s="11">
        <v>20</v>
      </c>
      <c r="G230" s="9">
        <v>18.181762028638737</v>
      </c>
      <c r="H230" s="11">
        <v>15</v>
      </c>
      <c r="I230" s="9">
        <v>8.4038011129160743</v>
      </c>
      <c r="J230" s="39"/>
    </row>
    <row r="231" spans="1:10" x14ac:dyDescent="0.25">
      <c r="A231" s="15">
        <v>43994</v>
      </c>
      <c r="B231" s="15">
        <v>44008</v>
      </c>
      <c r="C231" s="15">
        <v>44021</v>
      </c>
      <c r="D231" s="11">
        <v>30</v>
      </c>
      <c r="E231" s="9">
        <v>27.961368155194016</v>
      </c>
      <c r="F231" s="11">
        <v>20</v>
      </c>
      <c r="G231" s="9">
        <v>18.466019233602747</v>
      </c>
      <c r="H231" s="11">
        <v>15</v>
      </c>
      <c r="I231" s="9">
        <v>8.6182718442130373</v>
      </c>
      <c r="J231" s="39"/>
    </row>
    <row r="232" spans="1:10" x14ac:dyDescent="0.25">
      <c r="A232" s="15">
        <v>44008</v>
      </c>
      <c r="B232" s="15">
        <v>44022</v>
      </c>
      <c r="C232" s="15">
        <v>44035</v>
      </c>
      <c r="D232" s="11">
        <v>30</v>
      </c>
      <c r="E232" s="9">
        <v>26.629777718258147</v>
      </c>
      <c r="F232" s="11">
        <v>20</v>
      </c>
      <c r="G232" s="9">
        <v>17.004128805398818</v>
      </c>
      <c r="H232" s="11">
        <v>15</v>
      </c>
      <c r="I232" s="9">
        <v>8.4603901177204435</v>
      </c>
      <c r="J232" s="39"/>
    </row>
    <row r="233" spans="1:10" x14ac:dyDescent="0.25">
      <c r="A233" s="15">
        <v>44022</v>
      </c>
      <c r="B233" s="15">
        <v>44036</v>
      </c>
      <c r="C233" s="15">
        <v>44049</v>
      </c>
      <c r="D233" s="11">
        <v>30</v>
      </c>
      <c r="E233" s="9">
        <v>22.271317571891917</v>
      </c>
      <c r="F233" s="11">
        <v>20</v>
      </c>
      <c r="G233" s="9">
        <v>13.197246593622719</v>
      </c>
      <c r="H233" s="11">
        <v>15</v>
      </c>
      <c r="I233" s="9">
        <v>6.3911337623969224</v>
      </c>
      <c r="J233" s="39"/>
    </row>
    <row r="234" spans="1:10" x14ac:dyDescent="0.25">
      <c r="A234" s="15">
        <v>44036</v>
      </c>
      <c r="B234" s="15">
        <v>44050</v>
      </c>
      <c r="C234" s="15">
        <v>44063</v>
      </c>
      <c r="D234" s="11">
        <v>30</v>
      </c>
      <c r="E234" s="9">
        <v>21.050059270588125</v>
      </c>
      <c r="F234" s="11">
        <v>20</v>
      </c>
      <c r="G234" s="9">
        <v>12.144100830743053</v>
      </c>
      <c r="H234" s="11">
        <v>15</v>
      </c>
      <c r="I234" s="9">
        <v>7.4373116638372787</v>
      </c>
      <c r="J234" s="39"/>
    </row>
    <row r="235" spans="1:10" x14ac:dyDescent="0.25">
      <c r="A235" s="15">
        <v>44050</v>
      </c>
      <c r="B235" s="15">
        <v>44064</v>
      </c>
      <c r="C235" s="15">
        <v>44077</v>
      </c>
      <c r="D235" s="11">
        <v>30</v>
      </c>
      <c r="E235" s="9">
        <v>21.7113062269698</v>
      </c>
      <c r="F235" s="11">
        <v>20</v>
      </c>
      <c r="G235" s="9">
        <v>10.927944226686801</v>
      </c>
      <c r="H235" s="11">
        <v>15</v>
      </c>
      <c r="I235" s="9">
        <v>8.7372940314210474</v>
      </c>
      <c r="J235" s="39"/>
    </row>
    <row r="236" spans="1:10" x14ac:dyDescent="0.25">
      <c r="A236" s="15">
        <v>44064</v>
      </c>
      <c r="B236" s="15">
        <v>44078</v>
      </c>
      <c r="C236" s="15">
        <v>44091</v>
      </c>
      <c r="D236" s="11">
        <v>30</v>
      </c>
      <c r="E236" s="9">
        <v>21.739112055924011</v>
      </c>
      <c r="F236" s="11">
        <v>20</v>
      </c>
      <c r="G236" s="9">
        <v>10.720079345014682</v>
      </c>
      <c r="H236" s="11">
        <v>15</v>
      </c>
      <c r="I236" s="9">
        <v>8.9371816208646688</v>
      </c>
      <c r="J236" s="39"/>
    </row>
    <row r="237" spans="1:10" x14ac:dyDescent="0.25">
      <c r="A237" s="15">
        <v>44078</v>
      </c>
      <c r="B237" s="15">
        <v>44092</v>
      </c>
      <c r="C237" s="15">
        <v>44105</v>
      </c>
      <c r="D237" s="11">
        <v>30</v>
      </c>
      <c r="E237" s="9">
        <v>22.046378797090469</v>
      </c>
      <c r="F237" s="11">
        <v>20</v>
      </c>
      <c r="G237" s="9">
        <v>12.16938401628895</v>
      </c>
      <c r="H237" s="11">
        <v>15</v>
      </c>
      <c r="I237" s="9">
        <v>10.085322503789843</v>
      </c>
      <c r="J237" s="39"/>
    </row>
    <row r="238" spans="1:10" x14ac:dyDescent="0.25">
      <c r="A238" s="15">
        <v>44092</v>
      </c>
      <c r="B238" s="15">
        <v>44106</v>
      </c>
      <c r="C238" s="15">
        <v>44119</v>
      </c>
      <c r="D238" s="11">
        <v>30</v>
      </c>
      <c r="E238" s="9">
        <v>22.01548015365503</v>
      </c>
      <c r="F238" s="11">
        <v>20</v>
      </c>
      <c r="G238" s="9">
        <v>13.070851560674338</v>
      </c>
      <c r="H238" s="11">
        <v>15</v>
      </c>
      <c r="I238" s="9">
        <v>10.285859738117294</v>
      </c>
      <c r="J238" s="39"/>
    </row>
    <row r="239" spans="1:10" x14ac:dyDescent="0.25">
      <c r="A239" s="15">
        <v>44106</v>
      </c>
      <c r="B239" s="15">
        <v>44120</v>
      </c>
      <c r="C239" s="15">
        <v>44133</v>
      </c>
      <c r="D239" s="11">
        <v>30</v>
      </c>
      <c r="E239" s="9">
        <v>26.462543850259141</v>
      </c>
      <c r="F239" s="11">
        <v>20</v>
      </c>
      <c r="G239" s="9">
        <v>12.294540995878753</v>
      </c>
      <c r="H239" s="11">
        <v>15</v>
      </c>
      <c r="I239" s="9">
        <v>11.183497655821215</v>
      </c>
      <c r="J239" s="39"/>
    </row>
    <row r="240" spans="1:10" x14ac:dyDescent="0.25">
      <c r="A240" s="15">
        <v>44120</v>
      </c>
      <c r="B240" s="15">
        <v>44134</v>
      </c>
      <c r="C240" s="15">
        <v>44147</v>
      </c>
      <c r="D240" s="11">
        <v>30</v>
      </c>
      <c r="E240" s="9">
        <v>26.550445437699516</v>
      </c>
      <c r="F240" s="11">
        <v>20</v>
      </c>
      <c r="G240" s="9">
        <v>10.867170348644118</v>
      </c>
      <c r="H240" s="11">
        <v>15</v>
      </c>
      <c r="I240" s="9">
        <v>11.257629239985107</v>
      </c>
      <c r="J240" s="39"/>
    </row>
    <row r="241" spans="1:10" x14ac:dyDescent="0.25">
      <c r="A241" s="15">
        <v>44134</v>
      </c>
      <c r="B241" s="15">
        <v>44148</v>
      </c>
      <c r="C241" s="15">
        <v>44161</v>
      </c>
      <c r="D241" s="11">
        <v>30</v>
      </c>
      <c r="E241" s="9">
        <v>28.674291099112082</v>
      </c>
      <c r="F241" s="11">
        <v>20</v>
      </c>
      <c r="G241" s="9">
        <v>12.809732875890006</v>
      </c>
      <c r="H241" s="11">
        <v>15</v>
      </c>
      <c r="I241" s="9">
        <v>11.342424053697291</v>
      </c>
      <c r="J241" s="39"/>
    </row>
    <row r="242" spans="1:10" x14ac:dyDescent="0.25">
      <c r="A242" s="15">
        <v>44148</v>
      </c>
      <c r="B242" s="15">
        <v>44162</v>
      </c>
      <c r="C242" s="15">
        <v>44175</v>
      </c>
      <c r="D242" s="11">
        <v>30</v>
      </c>
      <c r="E242" s="9">
        <v>28.669002377345226</v>
      </c>
      <c r="F242" s="11">
        <v>20</v>
      </c>
      <c r="G242" s="9">
        <v>16.19091660697535</v>
      </c>
      <c r="H242" s="11">
        <v>15</v>
      </c>
      <c r="I242" s="9">
        <v>11.313677103537387</v>
      </c>
      <c r="J242" s="39"/>
    </row>
    <row r="243" spans="1:10" x14ac:dyDescent="0.25">
      <c r="A243" s="15">
        <v>44162</v>
      </c>
      <c r="B243" s="15">
        <v>44176</v>
      </c>
      <c r="C243" s="15">
        <v>44189</v>
      </c>
      <c r="D243" s="11">
        <v>30</v>
      </c>
      <c r="E243" s="9">
        <v>28.810915035776713</v>
      </c>
      <c r="F243" s="11">
        <v>20</v>
      </c>
      <c r="G243" s="9">
        <v>16.307491935910871</v>
      </c>
      <c r="H243" s="11">
        <v>15</v>
      </c>
      <c r="I243" s="9">
        <v>11.345831486040112</v>
      </c>
      <c r="J243" s="39"/>
    </row>
    <row r="244" spans="1:10" x14ac:dyDescent="0.25">
      <c r="A244" s="15">
        <v>44176</v>
      </c>
      <c r="B244" s="15">
        <v>44190</v>
      </c>
      <c r="C244" s="15">
        <v>44203</v>
      </c>
      <c r="D244" s="11">
        <v>30</v>
      </c>
      <c r="E244" s="9">
        <v>27.334167392587105</v>
      </c>
      <c r="F244" s="11">
        <v>20</v>
      </c>
      <c r="G244" s="9">
        <v>15.540609873196566</v>
      </c>
      <c r="H244" s="11">
        <v>15</v>
      </c>
      <c r="I244" s="9">
        <v>10.520745672807115</v>
      </c>
      <c r="J244" s="39"/>
    </row>
    <row r="245" spans="1:10" x14ac:dyDescent="0.25">
      <c r="A245" s="15">
        <v>44190</v>
      </c>
      <c r="B245" s="15">
        <v>44204</v>
      </c>
      <c r="C245" s="15">
        <v>44217</v>
      </c>
      <c r="D245" s="11">
        <v>30</v>
      </c>
      <c r="E245" s="9">
        <v>29.08175517421806</v>
      </c>
      <c r="F245" s="11">
        <v>20</v>
      </c>
      <c r="G245" s="9">
        <v>18.109548842560365</v>
      </c>
      <c r="H245" s="11">
        <v>15</v>
      </c>
      <c r="I245" s="9">
        <v>10.800577036151445</v>
      </c>
      <c r="J245" s="39"/>
    </row>
    <row r="246" spans="1:10" x14ac:dyDescent="0.25">
      <c r="A246" s="15">
        <v>44204</v>
      </c>
      <c r="B246" s="15">
        <v>44218</v>
      </c>
      <c r="C246" s="15">
        <v>44231</v>
      </c>
      <c r="D246" s="11">
        <v>30</v>
      </c>
      <c r="E246" s="9">
        <v>29.304907419264769</v>
      </c>
      <c r="F246" s="11">
        <v>20</v>
      </c>
      <c r="G246" s="9">
        <v>18.580644505285083</v>
      </c>
      <c r="H246" s="11">
        <v>15</v>
      </c>
      <c r="I246" s="9">
        <v>10.844692110087832</v>
      </c>
      <c r="J246" s="39"/>
    </row>
    <row r="247" spans="1:10" x14ac:dyDescent="0.25">
      <c r="A247" s="15">
        <v>44218</v>
      </c>
      <c r="B247" s="15">
        <v>44232</v>
      </c>
      <c r="C247" s="15">
        <v>44245</v>
      </c>
      <c r="D247" s="11">
        <v>30</v>
      </c>
      <c r="E247" s="9">
        <v>29.312402231127223</v>
      </c>
      <c r="F247" s="11">
        <v>20</v>
      </c>
      <c r="G247" s="9">
        <v>18.410510378403064</v>
      </c>
      <c r="H247" s="11">
        <v>15</v>
      </c>
      <c r="I247" s="9">
        <v>10.817338241967633</v>
      </c>
      <c r="J247" s="39"/>
    </row>
    <row r="248" spans="1:10" x14ac:dyDescent="0.25">
      <c r="A248" s="15">
        <v>44232</v>
      </c>
      <c r="B248" s="15">
        <v>44246</v>
      </c>
      <c r="C248" s="15">
        <v>44259</v>
      </c>
      <c r="D248" s="11">
        <v>30</v>
      </c>
      <c r="E248" s="9">
        <v>29.770987827395949</v>
      </c>
      <c r="F248" s="11">
        <v>20</v>
      </c>
      <c r="G248" s="9">
        <v>18.755959707734799</v>
      </c>
      <c r="H248" s="11">
        <v>15</v>
      </c>
      <c r="I248" s="9">
        <v>10.565737259552227</v>
      </c>
      <c r="J248" s="39"/>
    </row>
    <row r="249" spans="1:10" x14ac:dyDescent="0.25">
      <c r="A249" s="15">
        <v>44246</v>
      </c>
      <c r="B249" s="15">
        <v>44260</v>
      </c>
      <c r="C249" s="15">
        <v>44273</v>
      </c>
      <c r="D249" s="11">
        <v>20</v>
      </c>
      <c r="E249" s="9">
        <v>19.86375755904886</v>
      </c>
      <c r="F249" s="11">
        <v>15</v>
      </c>
      <c r="G249" s="9">
        <v>14.166729071493769</v>
      </c>
      <c r="H249" s="11">
        <v>15</v>
      </c>
      <c r="I249" s="9">
        <v>8.4267963908602024</v>
      </c>
      <c r="J249" s="39"/>
    </row>
    <row r="250" spans="1:10" x14ac:dyDescent="0.25">
      <c r="A250" s="15">
        <v>44260</v>
      </c>
      <c r="B250" s="15">
        <v>44274</v>
      </c>
      <c r="C250" s="15">
        <v>44287</v>
      </c>
      <c r="D250" s="11">
        <v>20</v>
      </c>
      <c r="E250" s="9">
        <v>19.859787322691364</v>
      </c>
      <c r="F250" s="11">
        <v>15</v>
      </c>
      <c r="G250" s="9">
        <v>14.173445888617152</v>
      </c>
      <c r="H250" s="11">
        <v>15</v>
      </c>
      <c r="I250" s="9">
        <v>8.6665690587321329</v>
      </c>
      <c r="J250" s="39"/>
    </row>
    <row r="251" spans="1:10" x14ac:dyDescent="0.25">
      <c r="A251" s="15">
        <v>44274</v>
      </c>
      <c r="B251" s="15">
        <v>44288</v>
      </c>
      <c r="C251" s="15">
        <v>44301</v>
      </c>
      <c r="D251" s="11">
        <v>20</v>
      </c>
      <c r="E251" s="9">
        <v>19.857017411306181</v>
      </c>
      <c r="F251" s="11">
        <v>15</v>
      </c>
      <c r="G251" s="9">
        <v>14.070233299878598</v>
      </c>
      <c r="H251" s="11">
        <v>15</v>
      </c>
      <c r="I251" s="9">
        <v>8.4887710577561695</v>
      </c>
      <c r="J251" s="39"/>
    </row>
    <row r="252" spans="1:10" x14ac:dyDescent="0.25">
      <c r="A252" s="15">
        <v>44288</v>
      </c>
      <c r="B252" s="15">
        <v>44302</v>
      </c>
      <c r="C252" s="15">
        <v>44315</v>
      </c>
      <c r="D252" s="11">
        <v>20</v>
      </c>
      <c r="E252" s="9">
        <v>19.856376949396946</v>
      </c>
      <c r="F252" s="11">
        <v>15</v>
      </c>
      <c r="G252" s="9">
        <v>14.155124781282034</v>
      </c>
      <c r="H252" s="11">
        <v>15</v>
      </c>
      <c r="I252" s="9">
        <v>9.1480372012733273</v>
      </c>
      <c r="J252" s="39"/>
    </row>
    <row r="253" spans="1:10" x14ac:dyDescent="0.25">
      <c r="A253" s="15">
        <v>44302</v>
      </c>
      <c r="B253" s="15">
        <v>44316</v>
      </c>
      <c r="C253" s="15">
        <v>44332</v>
      </c>
      <c r="D253" s="11">
        <v>20</v>
      </c>
      <c r="E253" s="9">
        <v>19.856954035162637</v>
      </c>
      <c r="F253" s="11">
        <v>15</v>
      </c>
      <c r="G253" s="9">
        <v>14.145686706006511</v>
      </c>
      <c r="H253" s="11">
        <v>15</v>
      </c>
      <c r="I253" s="9">
        <v>9.1796206048233664</v>
      </c>
      <c r="J253" s="39"/>
    </row>
    <row r="254" spans="1:10" x14ac:dyDescent="0.25">
      <c r="A254" s="15">
        <v>44316</v>
      </c>
      <c r="B254" s="15">
        <v>44333</v>
      </c>
      <c r="C254" s="15">
        <v>44343</v>
      </c>
      <c r="D254" s="11">
        <v>20</v>
      </c>
      <c r="E254" s="9">
        <v>19.859710886612302</v>
      </c>
      <c r="F254" s="11">
        <v>15</v>
      </c>
      <c r="G254" s="9">
        <v>14.1193370336991</v>
      </c>
      <c r="H254" s="11">
        <v>15</v>
      </c>
      <c r="I254" s="9">
        <v>9.4238774974064903</v>
      </c>
      <c r="J254" s="39"/>
    </row>
    <row r="255" spans="1:10" x14ac:dyDescent="0.25">
      <c r="A255" s="15">
        <v>44328</v>
      </c>
      <c r="B255" s="15">
        <v>44344</v>
      </c>
      <c r="C255" s="15">
        <v>44357</v>
      </c>
      <c r="D255" s="11">
        <v>20</v>
      </c>
      <c r="E255" s="9">
        <v>19.84055662521498</v>
      </c>
      <c r="F255" s="11">
        <v>15</v>
      </c>
      <c r="G255" s="9">
        <v>14.190466266060408</v>
      </c>
      <c r="H255" s="11">
        <v>15</v>
      </c>
      <c r="I255" s="9">
        <v>9.6052051022773668</v>
      </c>
      <c r="J255" s="39"/>
    </row>
    <row r="256" spans="1:10" x14ac:dyDescent="0.25">
      <c r="A256" s="15">
        <v>44344</v>
      </c>
      <c r="B256" s="15">
        <v>44358</v>
      </c>
      <c r="C256" s="15">
        <v>44371</v>
      </c>
      <c r="D256" s="11">
        <v>20</v>
      </c>
      <c r="E256" s="9">
        <v>19.876106678517004</v>
      </c>
      <c r="F256" s="11">
        <v>15</v>
      </c>
      <c r="G256" s="9">
        <v>14.230043904917794</v>
      </c>
      <c r="H256" s="11">
        <v>15</v>
      </c>
      <c r="I256" s="9">
        <v>10.034549052619184</v>
      </c>
      <c r="J256" s="39"/>
    </row>
    <row r="257" spans="1:10" x14ac:dyDescent="0.25">
      <c r="A257" s="15">
        <v>44358</v>
      </c>
      <c r="B257" s="15">
        <v>44372</v>
      </c>
      <c r="C257" s="15">
        <v>44385</v>
      </c>
      <c r="D257" s="11">
        <v>20</v>
      </c>
      <c r="E257" s="9">
        <v>19.891899617060098</v>
      </c>
      <c r="F257" s="11">
        <v>15</v>
      </c>
      <c r="G257" s="9">
        <v>14.201180030698593</v>
      </c>
      <c r="H257" s="11">
        <v>15</v>
      </c>
      <c r="I257" s="9">
        <v>9.883176013953566</v>
      </c>
      <c r="J257" s="39"/>
    </row>
    <row r="258" spans="1:10" x14ac:dyDescent="0.25">
      <c r="A258" s="15">
        <v>44372</v>
      </c>
      <c r="B258" s="15">
        <v>44386</v>
      </c>
      <c r="C258" s="15">
        <v>44402</v>
      </c>
      <c r="D258" s="11">
        <v>20</v>
      </c>
      <c r="E258" s="9">
        <v>19.877003401832535</v>
      </c>
      <c r="F258" s="11">
        <v>15</v>
      </c>
      <c r="G258" s="9">
        <v>14.173869764676198</v>
      </c>
      <c r="H258" s="11">
        <v>15</v>
      </c>
      <c r="I258" s="9">
        <v>9.6133258352222448</v>
      </c>
      <c r="J258" s="39"/>
    </row>
    <row r="259" spans="1:10" x14ac:dyDescent="0.25">
      <c r="A259" s="15">
        <v>44386</v>
      </c>
      <c r="B259" s="15">
        <v>44403</v>
      </c>
      <c r="C259" s="15">
        <v>44413</v>
      </c>
      <c r="D259" s="11">
        <v>20</v>
      </c>
      <c r="E259" s="9">
        <v>19.884436497195725</v>
      </c>
      <c r="F259" s="11">
        <v>15</v>
      </c>
      <c r="G259" s="9">
        <v>14.177892656139738</v>
      </c>
      <c r="H259" s="11">
        <v>15</v>
      </c>
      <c r="I259" s="9">
        <v>9.7264508421218032</v>
      </c>
      <c r="J259" s="39"/>
    </row>
    <row r="260" spans="1:10" x14ac:dyDescent="0.25">
      <c r="A260" s="15">
        <v>44396</v>
      </c>
      <c r="B260" s="15">
        <v>44414</v>
      </c>
      <c r="C260" s="15">
        <v>44427</v>
      </c>
      <c r="D260" s="11">
        <v>10</v>
      </c>
      <c r="E260" s="9">
        <v>9.9253998786289621</v>
      </c>
      <c r="F260" s="11">
        <v>15</v>
      </c>
      <c r="G260" s="9">
        <v>14.119818665879681</v>
      </c>
      <c r="H260" s="11">
        <v>15</v>
      </c>
      <c r="I260" s="9">
        <v>9.5297245634867558</v>
      </c>
      <c r="J260" s="39"/>
    </row>
    <row r="261" spans="1:10" x14ac:dyDescent="0.25">
      <c r="A261" s="15">
        <v>44414</v>
      </c>
      <c r="B261" s="15">
        <v>44428</v>
      </c>
      <c r="C261" s="15">
        <v>44441</v>
      </c>
      <c r="D261" s="11">
        <v>10</v>
      </c>
      <c r="E261" s="9">
        <v>9.9369953879115744</v>
      </c>
      <c r="F261" s="11">
        <v>15</v>
      </c>
      <c r="G261" s="9">
        <v>14.108046337195454</v>
      </c>
      <c r="H261" s="11">
        <v>15</v>
      </c>
      <c r="I261" s="9">
        <v>9.5895538960165663</v>
      </c>
      <c r="J261" s="39"/>
    </row>
    <row r="262" spans="1:10" x14ac:dyDescent="0.25">
      <c r="A262" s="15">
        <v>44428</v>
      </c>
      <c r="B262" s="15">
        <v>44442</v>
      </c>
      <c r="C262" s="15">
        <v>44455</v>
      </c>
      <c r="D262" s="11">
        <v>10</v>
      </c>
      <c r="E262" s="9">
        <v>9.93749685018736</v>
      </c>
      <c r="F262" s="11">
        <v>15</v>
      </c>
      <c r="G262" s="9">
        <v>14.215461162625424</v>
      </c>
      <c r="H262" s="11">
        <v>15</v>
      </c>
      <c r="I262" s="9">
        <v>9.442292112760116</v>
      </c>
      <c r="J262" s="39"/>
    </row>
    <row r="263" spans="1:10" ht="15.75" customHeight="1" x14ac:dyDescent="0.25">
      <c r="A263" s="15">
        <v>44442</v>
      </c>
      <c r="B263" s="15">
        <v>44456</v>
      </c>
      <c r="C263" s="15">
        <v>44469</v>
      </c>
      <c r="D263" s="11">
        <v>10</v>
      </c>
      <c r="E263" s="9">
        <v>9.9415316746398581</v>
      </c>
      <c r="F263" s="11">
        <v>15</v>
      </c>
      <c r="G263" s="9">
        <v>14.154562172242969</v>
      </c>
      <c r="H263" s="11">
        <v>15</v>
      </c>
      <c r="I263" s="9">
        <v>9.3766245571107962</v>
      </c>
      <c r="J263" s="39"/>
    </row>
    <row r="264" spans="1:10" ht="15.75" customHeight="1" x14ac:dyDescent="0.25">
      <c r="A264" s="15">
        <v>44456</v>
      </c>
      <c r="B264" s="15">
        <v>44470</v>
      </c>
      <c r="C264" s="15">
        <v>44483</v>
      </c>
      <c r="D264" s="11">
        <v>0</v>
      </c>
      <c r="E264" s="26">
        <v>0</v>
      </c>
      <c r="F264" s="11">
        <v>15</v>
      </c>
      <c r="G264" s="9">
        <v>14.60674823503742</v>
      </c>
      <c r="H264" s="11">
        <v>15</v>
      </c>
      <c r="I264" s="9">
        <v>9.2323141930253847</v>
      </c>
      <c r="J264" s="39"/>
    </row>
    <row r="265" spans="1:10" ht="15.75" customHeight="1" x14ac:dyDescent="0.25">
      <c r="A265" s="15">
        <v>44470</v>
      </c>
      <c r="B265" s="15">
        <v>44484</v>
      </c>
      <c r="C265" s="15">
        <v>44500</v>
      </c>
      <c r="D265" s="11">
        <v>0</v>
      </c>
      <c r="E265" s="26">
        <v>0</v>
      </c>
      <c r="F265" s="11">
        <v>15</v>
      </c>
      <c r="G265" s="9">
        <v>14.655880449367558</v>
      </c>
      <c r="H265" s="11">
        <v>15</v>
      </c>
      <c r="I265" s="9">
        <v>9.6692858303467464</v>
      </c>
      <c r="J265" s="39"/>
    </row>
    <row r="266" spans="1:10" ht="16.5" customHeight="1" x14ac:dyDescent="0.25">
      <c r="A266" s="15">
        <v>44484</v>
      </c>
      <c r="B266" s="15">
        <v>44501</v>
      </c>
      <c r="C266" s="15">
        <v>44511</v>
      </c>
      <c r="D266" s="11">
        <v>0</v>
      </c>
      <c r="E266" s="26">
        <v>0</v>
      </c>
      <c r="F266" s="11">
        <v>15</v>
      </c>
      <c r="G266" s="9">
        <v>14.51068153440216</v>
      </c>
      <c r="H266" s="11">
        <v>15</v>
      </c>
      <c r="I266" s="9">
        <v>9.9355180304012887</v>
      </c>
      <c r="J266" s="39"/>
    </row>
    <row r="267" spans="1:10" ht="16.5" customHeight="1" x14ac:dyDescent="0.25">
      <c r="A267" s="15">
        <v>44497</v>
      </c>
      <c r="B267" s="15">
        <v>44512</v>
      </c>
      <c r="C267" s="15">
        <v>44525</v>
      </c>
      <c r="D267" s="11">
        <v>0</v>
      </c>
      <c r="E267" s="26">
        <v>0</v>
      </c>
      <c r="F267" s="11">
        <v>10</v>
      </c>
      <c r="G267" s="9">
        <v>9.8351779336363165</v>
      </c>
      <c r="H267" s="11">
        <v>15</v>
      </c>
      <c r="I267" s="9">
        <v>10.104873211173251</v>
      </c>
      <c r="J267" s="39"/>
    </row>
    <row r="268" spans="1:10" ht="16.5" customHeight="1" x14ac:dyDescent="0.25">
      <c r="A268" s="15">
        <v>44512</v>
      </c>
      <c r="B268" s="15">
        <v>44526</v>
      </c>
      <c r="C268" s="15">
        <v>44539</v>
      </c>
      <c r="D268" s="11">
        <v>0</v>
      </c>
      <c r="E268" s="26">
        <v>0</v>
      </c>
      <c r="F268" s="11">
        <v>10</v>
      </c>
      <c r="G268" s="9">
        <v>9.8288381595425278</v>
      </c>
      <c r="H268" s="11">
        <v>15</v>
      </c>
      <c r="I268" s="9">
        <v>10.650642044247792</v>
      </c>
      <c r="J268" s="39"/>
    </row>
    <row r="269" spans="1:10" ht="16.5" customHeight="1" x14ac:dyDescent="0.25">
      <c r="A269" s="15">
        <v>44526</v>
      </c>
      <c r="B269" s="15">
        <v>44540</v>
      </c>
      <c r="C269" s="15">
        <v>44553</v>
      </c>
      <c r="D269" s="11">
        <v>0</v>
      </c>
      <c r="E269" s="26">
        <v>0</v>
      </c>
      <c r="F269" s="11">
        <v>10</v>
      </c>
      <c r="G269" s="9">
        <v>9.80290567562988</v>
      </c>
      <c r="H269" s="11">
        <v>15</v>
      </c>
      <c r="I269" s="9">
        <v>11.28590231793831</v>
      </c>
      <c r="J269" s="39"/>
    </row>
    <row r="270" spans="1:10" ht="16.5" customHeight="1" x14ac:dyDescent="0.25">
      <c r="A270" s="15">
        <v>44540</v>
      </c>
      <c r="B270" s="15">
        <v>44554</v>
      </c>
      <c r="C270" s="15">
        <v>44567</v>
      </c>
      <c r="D270" s="11">
        <v>0</v>
      </c>
      <c r="E270" s="26">
        <v>0</v>
      </c>
      <c r="F270" s="11">
        <v>10</v>
      </c>
      <c r="G270" s="9">
        <v>9.8212519836464871</v>
      </c>
      <c r="H270" s="11">
        <v>15</v>
      </c>
      <c r="I270" s="9">
        <v>11.407530063481525</v>
      </c>
      <c r="J270" s="39"/>
    </row>
    <row r="271" spans="1:10" ht="16.5" customHeight="1" x14ac:dyDescent="0.25">
      <c r="A271" s="15">
        <v>44554</v>
      </c>
      <c r="B271" s="15">
        <v>44568</v>
      </c>
      <c r="C271" s="15">
        <v>44581</v>
      </c>
      <c r="D271" s="11">
        <v>0</v>
      </c>
      <c r="E271" s="26">
        <v>0</v>
      </c>
      <c r="F271" s="11">
        <v>10</v>
      </c>
      <c r="G271" s="9">
        <v>9.8297199286985215</v>
      </c>
      <c r="H271" s="11">
        <v>15</v>
      </c>
      <c r="I271" s="9">
        <v>11.307682494739669</v>
      </c>
      <c r="J271" s="39"/>
    </row>
    <row r="272" spans="1:10" ht="16.5" customHeight="1" x14ac:dyDescent="0.25">
      <c r="A272" s="15">
        <v>44568</v>
      </c>
      <c r="B272" s="15">
        <v>44582</v>
      </c>
      <c r="C272" s="15">
        <v>44595</v>
      </c>
      <c r="D272" s="11">
        <v>0</v>
      </c>
      <c r="E272" s="26">
        <v>0</v>
      </c>
      <c r="F272" s="11">
        <v>10</v>
      </c>
      <c r="G272" s="9">
        <v>9.8230861095621602</v>
      </c>
      <c r="H272" s="11">
        <v>15</v>
      </c>
      <c r="I272" s="9">
        <v>11.370637987396043</v>
      </c>
      <c r="J272" s="39"/>
    </row>
    <row r="273" spans="1:10" ht="14.25" customHeight="1" x14ac:dyDescent="0.25">
      <c r="A273" s="15">
        <v>44582</v>
      </c>
      <c r="B273" s="15">
        <v>44596</v>
      </c>
      <c r="C273" s="15">
        <v>44609</v>
      </c>
      <c r="D273" s="11">
        <v>0</v>
      </c>
      <c r="E273" s="26">
        <v>0</v>
      </c>
      <c r="F273" s="11">
        <v>10</v>
      </c>
      <c r="G273" s="9">
        <v>9.7690177707940595</v>
      </c>
      <c r="H273" s="11">
        <v>15</v>
      </c>
      <c r="I273" s="9">
        <v>11.380954652301215</v>
      </c>
      <c r="J273" s="39"/>
    </row>
    <row r="274" spans="1:10" ht="14.25" customHeight="1" x14ac:dyDescent="0.25">
      <c r="A274" s="15">
        <v>44596</v>
      </c>
      <c r="B274" s="15">
        <v>44610</v>
      </c>
      <c r="C274" s="15">
        <v>44623</v>
      </c>
      <c r="D274" s="11">
        <v>0</v>
      </c>
      <c r="E274" s="26">
        <v>0</v>
      </c>
      <c r="F274" s="11">
        <v>10</v>
      </c>
      <c r="G274" s="9">
        <v>9.7355111644817747</v>
      </c>
      <c r="H274" s="11">
        <v>15</v>
      </c>
      <c r="I274" s="9">
        <v>11.376951981782371</v>
      </c>
      <c r="J274" s="39"/>
    </row>
    <row r="275" spans="1:10" ht="14.25" customHeight="1" x14ac:dyDescent="0.25">
      <c r="A275" s="15">
        <v>44610</v>
      </c>
      <c r="B275" s="15">
        <v>44624</v>
      </c>
      <c r="C275" s="15">
        <v>44637</v>
      </c>
      <c r="D275" s="11">
        <v>0</v>
      </c>
      <c r="E275" s="26">
        <v>0</v>
      </c>
      <c r="F275" s="11">
        <v>10</v>
      </c>
      <c r="G275" s="9">
        <v>9.7307524944710337</v>
      </c>
      <c r="H275" s="11">
        <v>15</v>
      </c>
      <c r="I275" s="9">
        <v>11.425607788384383</v>
      </c>
      <c r="J275" s="39"/>
    </row>
    <row r="276" spans="1:10" ht="14.25" customHeight="1" x14ac:dyDescent="0.25">
      <c r="A276" s="15">
        <v>44624</v>
      </c>
      <c r="B276" s="15">
        <v>44638</v>
      </c>
      <c r="C276" s="15">
        <v>44651</v>
      </c>
      <c r="D276" s="11">
        <v>0</v>
      </c>
      <c r="E276" s="26">
        <v>0</v>
      </c>
      <c r="F276" s="11">
        <v>10</v>
      </c>
      <c r="G276" s="9">
        <v>9.6797385471981592</v>
      </c>
      <c r="H276" s="11">
        <v>15</v>
      </c>
      <c r="I276" s="9">
        <v>11.465686508816257</v>
      </c>
      <c r="J276" s="39"/>
    </row>
    <row r="277" spans="1:10" ht="14.25" customHeight="1" x14ac:dyDescent="0.25">
      <c r="A277" s="15">
        <v>44638</v>
      </c>
      <c r="B277" s="15">
        <v>44652</v>
      </c>
      <c r="C277" s="15">
        <v>44665</v>
      </c>
      <c r="D277" s="11">
        <v>0</v>
      </c>
      <c r="E277" s="26">
        <v>0</v>
      </c>
      <c r="F277" s="11">
        <v>10</v>
      </c>
      <c r="G277" s="9">
        <v>9.7532454119503491</v>
      </c>
      <c r="H277" s="11">
        <v>15</v>
      </c>
      <c r="I277" s="9">
        <v>11.497679544215039</v>
      </c>
      <c r="J277" s="39"/>
    </row>
    <row r="278" spans="1:10" ht="14.25" customHeight="1" x14ac:dyDescent="0.25">
      <c r="A278" s="15">
        <v>44652</v>
      </c>
      <c r="B278" s="15">
        <v>44666</v>
      </c>
      <c r="C278" s="15">
        <v>44679</v>
      </c>
      <c r="D278" s="11">
        <v>0</v>
      </c>
      <c r="E278" s="26">
        <v>0</v>
      </c>
      <c r="F278" s="11">
        <v>10</v>
      </c>
      <c r="G278" s="9">
        <v>9.6991594764470488</v>
      </c>
      <c r="H278" s="11">
        <v>15</v>
      </c>
      <c r="I278" s="9">
        <v>11.468490500439282</v>
      </c>
      <c r="J278" s="39"/>
    </row>
    <row r="279" spans="1:10" ht="14.25" customHeight="1" x14ac:dyDescent="0.25">
      <c r="A279" s="15">
        <v>44666</v>
      </c>
      <c r="B279" s="15">
        <v>44680</v>
      </c>
      <c r="C279" s="15">
        <v>44693</v>
      </c>
      <c r="D279" s="11">
        <v>0</v>
      </c>
      <c r="E279" s="26">
        <v>0</v>
      </c>
      <c r="F279" s="11">
        <v>10</v>
      </c>
      <c r="G279" s="9">
        <v>9.7937756726589349</v>
      </c>
      <c r="H279" s="11">
        <v>15</v>
      </c>
      <c r="I279" s="9">
        <v>11.531131488186604</v>
      </c>
      <c r="J279" s="39"/>
    </row>
    <row r="280" spans="1:10" ht="14.25" customHeight="1" x14ac:dyDescent="0.25">
      <c r="A280" s="15">
        <v>44680</v>
      </c>
      <c r="B280" s="15">
        <v>44694</v>
      </c>
      <c r="C280" s="15">
        <v>44707</v>
      </c>
      <c r="D280" s="11">
        <v>0</v>
      </c>
      <c r="E280" s="26">
        <v>0</v>
      </c>
      <c r="F280" s="11">
        <v>10</v>
      </c>
      <c r="G280" s="9">
        <v>9.7613010790070973</v>
      </c>
      <c r="H280" s="11">
        <v>15</v>
      </c>
      <c r="I280" s="9">
        <v>11.505585858365725</v>
      </c>
      <c r="J280" s="39"/>
    </row>
    <row r="281" spans="1:10" ht="14.25" customHeight="1" x14ac:dyDescent="0.25">
      <c r="A281" s="15">
        <v>44694</v>
      </c>
      <c r="B281" s="15">
        <v>44708</v>
      </c>
      <c r="C281" s="15">
        <v>44721</v>
      </c>
      <c r="D281" s="11">
        <v>0</v>
      </c>
      <c r="E281" s="26">
        <v>0</v>
      </c>
      <c r="F281" s="11">
        <v>10</v>
      </c>
      <c r="G281" s="9">
        <v>9.7211838132388451</v>
      </c>
      <c r="H281" s="11">
        <v>15</v>
      </c>
      <c r="I281" s="9">
        <v>11.471210122670778</v>
      </c>
      <c r="J281" s="39"/>
    </row>
    <row r="282" spans="1:10" ht="14.25" customHeight="1" x14ac:dyDescent="0.25">
      <c r="A282" s="15">
        <v>44708</v>
      </c>
      <c r="B282" s="15">
        <v>44722</v>
      </c>
      <c r="C282" s="15">
        <v>44735</v>
      </c>
      <c r="D282" s="11">
        <v>0</v>
      </c>
      <c r="E282" s="26">
        <v>0</v>
      </c>
      <c r="F282" s="11">
        <v>10</v>
      </c>
      <c r="G282" s="9">
        <v>9.7510685860919857</v>
      </c>
      <c r="H282" s="11">
        <v>15</v>
      </c>
      <c r="I282" s="9">
        <v>11.496860844878174</v>
      </c>
      <c r="J282" s="39"/>
    </row>
    <row r="283" spans="1:10" ht="14.25" customHeight="1" x14ac:dyDescent="0.25">
      <c r="A283" s="15">
        <v>44722</v>
      </c>
      <c r="B283" s="15">
        <v>44736</v>
      </c>
      <c r="C283" s="15">
        <v>44749</v>
      </c>
      <c r="D283" s="11">
        <v>0</v>
      </c>
      <c r="E283" s="26">
        <v>0</v>
      </c>
      <c r="F283" s="11">
        <v>10</v>
      </c>
      <c r="G283" s="9">
        <v>9.7518340185307633</v>
      </c>
      <c r="H283" s="11">
        <v>15</v>
      </c>
      <c r="I283" s="9">
        <v>11.4660349957904</v>
      </c>
      <c r="J283" s="39"/>
    </row>
    <row r="284" spans="1:10" ht="14.25" customHeight="1" x14ac:dyDescent="0.25">
      <c r="A284" s="15">
        <v>44736</v>
      </c>
      <c r="B284" s="15">
        <v>44750</v>
      </c>
      <c r="C284" s="15">
        <v>44763</v>
      </c>
      <c r="D284" s="11">
        <v>0</v>
      </c>
      <c r="E284" s="26">
        <v>0</v>
      </c>
      <c r="F284" s="11">
        <v>10</v>
      </c>
      <c r="G284" s="9">
        <v>9.66628187862446</v>
      </c>
      <c r="H284" s="11">
        <v>15</v>
      </c>
      <c r="I284" s="9">
        <v>11.345004994806583</v>
      </c>
      <c r="J284" s="39"/>
    </row>
    <row r="285" spans="1:10" ht="14.25" customHeight="1" x14ac:dyDescent="0.25">
      <c r="A285" s="15">
        <v>44750</v>
      </c>
      <c r="B285" s="15">
        <v>44764</v>
      </c>
      <c r="C285" s="15">
        <v>44777</v>
      </c>
      <c r="D285" s="11">
        <v>0</v>
      </c>
      <c r="E285" s="26">
        <v>0</v>
      </c>
      <c r="F285" s="11">
        <v>10</v>
      </c>
      <c r="G285" s="9">
        <v>9.7057031361841553</v>
      </c>
      <c r="H285" s="11">
        <v>15</v>
      </c>
      <c r="I285" s="9">
        <v>10.876101343450356</v>
      </c>
      <c r="J285" s="39"/>
    </row>
    <row r="286" spans="1:10" ht="14.25" customHeight="1" x14ac:dyDescent="0.25">
      <c r="A286" s="15">
        <v>44764</v>
      </c>
      <c r="B286" s="15">
        <v>44778</v>
      </c>
      <c r="C286" s="15">
        <v>44791</v>
      </c>
      <c r="D286" s="11">
        <v>0</v>
      </c>
      <c r="E286" s="26">
        <v>0</v>
      </c>
      <c r="F286" s="11">
        <v>10</v>
      </c>
      <c r="G286" s="9">
        <v>9.7292818507956529</v>
      </c>
      <c r="H286" s="11">
        <v>15</v>
      </c>
      <c r="I286" s="9">
        <v>11.236847238981992</v>
      </c>
      <c r="J286" s="39"/>
    </row>
    <row r="287" spans="1:10" ht="14.25" customHeight="1" x14ac:dyDescent="0.25">
      <c r="A287" s="15">
        <v>44778</v>
      </c>
      <c r="B287" s="15">
        <v>44792</v>
      </c>
      <c r="C287" s="15">
        <v>44805</v>
      </c>
      <c r="D287" s="11">
        <v>0</v>
      </c>
      <c r="E287" s="26">
        <v>0</v>
      </c>
      <c r="F287" s="11">
        <v>10</v>
      </c>
      <c r="G287" s="9">
        <v>9.676882513472453</v>
      </c>
      <c r="H287" s="11">
        <v>15</v>
      </c>
      <c r="I287" s="9">
        <v>11.313185606702787</v>
      </c>
      <c r="J287" s="39"/>
    </row>
    <row r="288" spans="1:10" ht="14.25" customHeight="1" x14ac:dyDescent="0.25">
      <c r="A288" s="15">
        <v>44792</v>
      </c>
      <c r="B288" s="15">
        <v>44806</v>
      </c>
      <c r="C288" s="15">
        <v>44819</v>
      </c>
      <c r="D288" s="11">
        <v>0</v>
      </c>
      <c r="E288" s="26">
        <v>0</v>
      </c>
      <c r="F288" s="11">
        <v>10</v>
      </c>
      <c r="G288" s="9">
        <v>9.6527119882680612</v>
      </c>
      <c r="H288" s="11">
        <v>15</v>
      </c>
      <c r="I288" s="9">
        <v>11.38120654005629</v>
      </c>
      <c r="J288" s="39"/>
    </row>
    <row r="289" spans="1:10" ht="14.25" customHeight="1" x14ac:dyDescent="0.25">
      <c r="A289" s="15">
        <v>44806</v>
      </c>
      <c r="B289" s="15">
        <v>44820</v>
      </c>
      <c r="C289" s="15">
        <v>44833</v>
      </c>
      <c r="D289" s="11">
        <v>0</v>
      </c>
      <c r="E289" s="26">
        <v>0</v>
      </c>
      <c r="F289" s="11">
        <v>10</v>
      </c>
      <c r="G289" s="9">
        <v>9.6583667689690049</v>
      </c>
      <c r="H289" s="11">
        <v>15</v>
      </c>
      <c r="I289" s="9">
        <v>11.349966504112656</v>
      </c>
      <c r="J289" s="39"/>
    </row>
    <row r="290" spans="1:10" ht="14.25" customHeight="1" x14ac:dyDescent="0.25">
      <c r="A290" s="15">
        <v>44820</v>
      </c>
      <c r="B290" s="15">
        <v>44834</v>
      </c>
      <c r="C290" s="15">
        <v>44847</v>
      </c>
      <c r="D290" s="11">
        <v>0</v>
      </c>
      <c r="E290" s="26">
        <v>0</v>
      </c>
      <c r="F290" s="11">
        <v>10</v>
      </c>
      <c r="G290" s="9">
        <v>9.6551038149098538</v>
      </c>
      <c r="H290" s="11">
        <v>15</v>
      </c>
      <c r="I290" s="9">
        <v>11.348172922212827</v>
      </c>
      <c r="J290" s="39"/>
    </row>
    <row r="291" spans="1:10" ht="14.25" customHeight="1" x14ac:dyDescent="0.25">
      <c r="A291" s="15">
        <v>44834</v>
      </c>
      <c r="B291" s="15">
        <v>44848</v>
      </c>
      <c r="C291" s="15">
        <v>44861</v>
      </c>
      <c r="D291" s="11">
        <v>0</v>
      </c>
      <c r="E291" s="26">
        <v>0</v>
      </c>
      <c r="F291" s="11">
        <v>10</v>
      </c>
      <c r="G291" s="9">
        <v>9.6149337978395675</v>
      </c>
      <c r="H291" s="11">
        <v>15</v>
      </c>
      <c r="I291" s="9">
        <v>11.249145353847323</v>
      </c>
      <c r="J291" s="39"/>
    </row>
    <row r="292" spans="1:10" ht="14.25" customHeight="1" x14ac:dyDescent="0.25">
      <c r="A292" s="15">
        <v>44848</v>
      </c>
      <c r="B292" s="15">
        <v>44862</v>
      </c>
      <c r="C292" s="15">
        <v>44875</v>
      </c>
      <c r="D292" s="11">
        <v>0</v>
      </c>
      <c r="E292" s="26">
        <v>0</v>
      </c>
      <c r="F292" s="11">
        <v>10</v>
      </c>
      <c r="G292" s="9">
        <v>9.585669869174108</v>
      </c>
      <c r="H292" s="11">
        <v>15</v>
      </c>
      <c r="I292" s="9">
        <v>11.196420381454866</v>
      </c>
      <c r="J292" s="39"/>
    </row>
    <row r="293" spans="1:10" ht="14.25" customHeight="1" x14ac:dyDescent="0.25">
      <c r="A293" s="15">
        <v>44862</v>
      </c>
      <c r="B293" s="15">
        <v>44876</v>
      </c>
      <c r="C293" s="15">
        <v>44889</v>
      </c>
      <c r="D293" s="11">
        <v>0</v>
      </c>
      <c r="E293" s="26">
        <v>0</v>
      </c>
      <c r="F293" s="11">
        <v>10</v>
      </c>
      <c r="G293" s="9">
        <v>9.6895249144800069</v>
      </c>
      <c r="H293" s="11">
        <v>15</v>
      </c>
      <c r="I293" s="9">
        <v>11.055271224718044</v>
      </c>
      <c r="J293" s="39"/>
    </row>
    <row r="294" spans="1:10" ht="14.25" customHeight="1" x14ac:dyDescent="0.25">
      <c r="A294" s="15">
        <v>44876</v>
      </c>
      <c r="B294" s="15">
        <v>44890</v>
      </c>
      <c r="C294" s="15">
        <v>44903</v>
      </c>
      <c r="D294" s="11">
        <v>0</v>
      </c>
      <c r="E294" s="26">
        <v>0</v>
      </c>
      <c r="F294" s="11">
        <v>10</v>
      </c>
      <c r="G294" s="9">
        <v>9.6247095597713042</v>
      </c>
      <c r="H294" s="11">
        <v>15</v>
      </c>
      <c r="I294" s="9">
        <v>11.183999976760397</v>
      </c>
      <c r="J294" s="39"/>
    </row>
    <row r="295" spans="1:10" ht="14.25" customHeight="1" x14ac:dyDescent="0.25">
      <c r="A295" s="15">
        <v>44890</v>
      </c>
      <c r="B295" s="15">
        <v>44904</v>
      </c>
      <c r="C295" s="15">
        <v>44917</v>
      </c>
      <c r="D295" s="11">
        <v>0</v>
      </c>
      <c r="E295" s="26">
        <v>0</v>
      </c>
      <c r="F295" s="11">
        <v>10</v>
      </c>
      <c r="G295" s="9">
        <v>9.5828229345371181</v>
      </c>
      <c r="H295" s="11">
        <v>15</v>
      </c>
      <c r="I295" s="9">
        <v>11.193898740581259</v>
      </c>
      <c r="J295" s="39"/>
    </row>
    <row r="296" spans="1:10" ht="14.25" customHeight="1" x14ac:dyDescent="0.25">
      <c r="A296" s="15">
        <v>44904</v>
      </c>
      <c r="B296" s="15">
        <v>44918</v>
      </c>
      <c r="C296" s="15">
        <v>44931</v>
      </c>
      <c r="D296" s="11">
        <v>0</v>
      </c>
      <c r="E296" s="26">
        <v>0</v>
      </c>
      <c r="F296" s="11">
        <v>10</v>
      </c>
      <c r="G296" s="9">
        <v>9.6067484807369734</v>
      </c>
      <c r="H296" s="11">
        <v>15</v>
      </c>
      <c r="I296" s="9">
        <v>11.098607439202873</v>
      </c>
      <c r="J296" s="39"/>
    </row>
    <row r="297" spans="1:10" ht="14.25" customHeight="1" x14ac:dyDescent="0.25">
      <c r="A297" s="15">
        <v>44918</v>
      </c>
      <c r="B297" s="15">
        <v>44932</v>
      </c>
      <c r="C297" s="15">
        <v>44945</v>
      </c>
      <c r="D297" s="11">
        <v>0</v>
      </c>
      <c r="E297" s="26">
        <v>0</v>
      </c>
      <c r="F297" s="11">
        <v>10</v>
      </c>
      <c r="G297" s="9">
        <v>9.5568775917777096</v>
      </c>
      <c r="H297" s="11">
        <v>15</v>
      </c>
      <c r="I297" s="9">
        <v>10.954495539065663</v>
      </c>
      <c r="J297" s="39"/>
    </row>
    <row r="298" spans="1:10" ht="14.25" customHeight="1" x14ac:dyDescent="0.25">
      <c r="A298" s="15">
        <v>44932</v>
      </c>
      <c r="B298" s="15">
        <v>44946</v>
      </c>
      <c r="C298" s="15">
        <v>44959</v>
      </c>
      <c r="D298" s="11">
        <v>0</v>
      </c>
      <c r="E298" s="26">
        <v>0</v>
      </c>
      <c r="F298" s="11">
        <v>10</v>
      </c>
      <c r="G298" s="9">
        <v>9.6375723146783283</v>
      </c>
      <c r="H298" s="11">
        <v>15</v>
      </c>
      <c r="I298" s="9">
        <v>10.994682677216156</v>
      </c>
      <c r="J298" s="39"/>
    </row>
    <row r="299" spans="1:10" ht="14.25" customHeight="1" x14ac:dyDescent="0.25">
      <c r="A299" s="15">
        <v>44946</v>
      </c>
      <c r="B299" s="15">
        <v>44960</v>
      </c>
      <c r="C299" s="15">
        <v>44973</v>
      </c>
      <c r="D299" s="11">
        <v>0</v>
      </c>
      <c r="E299" s="26">
        <v>0</v>
      </c>
      <c r="F299" s="11">
        <v>10</v>
      </c>
      <c r="G299" s="9">
        <v>9.5200784152959468</v>
      </c>
      <c r="H299" s="11">
        <v>15</v>
      </c>
      <c r="I299" s="9">
        <v>10.942974302516339</v>
      </c>
      <c r="J299" s="39"/>
    </row>
    <row r="300" spans="1:10" ht="14.25" customHeight="1" x14ac:dyDescent="0.25">
      <c r="A300" s="15">
        <v>44960</v>
      </c>
      <c r="B300" s="15">
        <v>44974</v>
      </c>
      <c r="C300" s="15">
        <v>44987</v>
      </c>
      <c r="D300" s="11">
        <v>0</v>
      </c>
      <c r="E300" s="26">
        <v>0</v>
      </c>
      <c r="F300" s="11">
        <v>10</v>
      </c>
      <c r="G300" s="9">
        <v>9.5549061197961187</v>
      </c>
      <c r="H300" s="11">
        <v>15</v>
      </c>
      <c r="I300" s="9">
        <v>10.852140110550721</v>
      </c>
      <c r="J300" s="39"/>
    </row>
    <row r="301" spans="1:10" ht="14.25" customHeight="1" x14ac:dyDescent="0.25">
      <c r="A301" s="15">
        <v>44974</v>
      </c>
      <c r="B301" s="15">
        <v>44988</v>
      </c>
      <c r="C301" s="15">
        <v>45001</v>
      </c>
      <c r="D301" s="11">
        <v>0</v>
      </c>
      <c r="E301" s="26">
        <v>0</v>
      </c>
      <c r="F301" s="11">
        <v>10</v>
      </c>
      <c r="G301" s="9">
        <v>9.2809571180997121</v>
      </c>
      <c r="H301" s="11">
        <v>15</v>
      </c>
      <c r="I301" s="9">
        <v>10.837982285493034</v>
      </c>
      <c r="J301" s="39"/>
    </row>
    <row r="302" spans="1:10" ht="14.25" customHeight="1" x14ac:dyDescent="0.25">
      <c r="A302" s="15">
        <v>44988</v>
      </c>
      <c r="B302" s="15">
        <v>45002</v>
      </c>
      <c r="C302" s="15">
        <v>45015</v>
      </c>
      <c r="D302" s="11">
        <v>0</v>
      </c>
      <c r="E302" s="26">
        <v>0</v>
      </c>
      <c r="F302" s="11">
        <v>10</v>
      </c>
      <c r="G302" s="9">
        <v>9.3992885506592909</v>
      </c>
      <c r="H302" s="11">
        <v>15</v>
      </c>
      <c r="I302" s="9">
        <v>10.934829451035567</v>
      </c>
      <c r="J302" s="39"/>
    </row>
    <row r="303" spans="1:10" ht="14.25" customHeight="1" x14ac:dyDescent="0.25">
      <c r="A303" s="15">
        <v>45002</v>
      </c>
      <c r="B303" s="15">
        <v>45016</v>
      </c>
      <c r="C303" s="15">
        <v>45029</v>
      </c>
      <c r="D303" s="11">
        <v>0</v>
      </c>
      <c r="E303" s="26">
        <v>0</v>
      </c>
      <c r="F303" s="11">
        <v>10</v>
      </c>
      <c r="G303" s="9">
        <v>9.5117995605681163</v>
      </c>
      <c r="H303" s="11">
        <v>15</v>
      </c>
      <c r="I303" s="9">
        <v>11.059942753423083</v>
      </c>
      <c r="J303" s="39"/>
    </row>
    <row r="304" spans="1:10" x14ac:dyDescent="0.25">
      <c r="A304" s="15">
        <v>45016</v>
      </c>
      <c r="B304" s="15">
        <v>45030</v>
      </c>
      <c r="C304" s="15">
        <v>45043</v>
      </c>
      <c r="D304" s="11">
        <v>0</v>
      </c>
      <c r="E304" s="26">
        <v>0</v>
      </c>
      <c r="F304" s="11">
        <v>10</v>
      </c>
      <c r="G304" s="9">
        <v>9.4246339347891706</v>
      </c>
      <c r="H304" s="11">
        <v>15</v>
      </c>
      <c r="I304" s="9">
        <v>11.090108619669465</v>
      </c>
      <c r="J304" s="39"/>
    </row>
    <row r="305" spans="1:10" x14ac:dyDescent="0.25">
      <c r="A305" s="15">
        <v>45030</v>
      </c>
      <c r="B305" s="15">
        <v>45044</v>
      </c>
      <c r="C305" s="15">
        <v>45057</v>
      </c>
      <c r="D305" s="11">
        <v>0</v>
      </c>
      <c r="E305" s="26">
        <v>0</v>
      </c>
      <c r="F305" s="11">
        <v>10</v>
      </c>
      <c r="G305" s="9">
        <v>9.4781809046923211</v>
      </c>
      <c r="H305" s="11">
        <v>15</v>
      </c>
      <c r="I305" s="9">
        <v>11.009834853355796</v>
      </c>
      <c r="J305" s="39"/>
    </row>
    <row r="306" spans="1:10" s="50" customFormat="1" x14ac:dyDescent="0.25">
      <c r="A306" s="15">
        <v>45044</v>
      </c>
      <c r="B306" s="15">
        <v>45058</v>
      </c>
      <c r="C306" s="15">
        <v>45071</v>
      </c>
      <c r="D306" s="11">
        <v>0</v>
      </c>
      <c r="E306" s="26">
        <v>0</v>
      </c>
      <c r="F306" s="11">
        <v>10</v>
      </c>
      <c r="G306" s="9">
        <v>9.4688850794219164</v>
      </c>
      <c r="H306" s="11">
        <v>15</v>
      </c>
      <c r="I306" s="9">
        <v>11.012788089905159</v>
      </c>
      <c r="J306" s="39"/>
    </row>
    <row r="307" spans="1:10" s="50" customFormat="1" x14ac:dyDescent="0.25">
      <c r="A307" s="15">
        <v>45058</v>
      </c>
      <c r="B307" s="15">
        <v>45072</v>
      </c>
      <c r="C307" s="15">
        <v>45085</v>
      </c>
      <c r="D307" s="11">
        <v>0</v>
      </c>
      <c r="E307" s="26">
        <v>0</v>
      </c>
      <c r="F307" s="11">
        <v>10</v>
      </c>
      <c r="G307" s="9">
        <v>8.3149526502292801</v>
      </c>
      <c r="H307" s="11">
        <v>15</v>
      </c>
      <c r="I307" s="9">
        <v>11.079712101840364</v>
      </c>
      <c r="J307" s="39"/>
    </row>
    <row r="308" spans="1:10" s="50" customFormat="1" x14ac:dyDescent="0.25">
      <c r="A308" s="15">
        <v>45072</v>
      </c>
      <c r="B308" s="15">
        <v>45086</v>
      </c>
      <c r="C308" s="15">
        <v>45099</v>
      </c>
      <c r="D308" s="11">
        <v>0</v>
      </c>
      <c r="E308" s="26">
        <v>0</v>
      </c>
      <c r="F308" s="11">
        <v>10</v>
      </c>
      <c r="G308" s="9">
        <v>7.9768505163674197</v>
      </c>
      <c r="H308" s="11">
        <v>15</v>
      </c>
      <c r="I308" s="9">
        <v>10.7920356812121</v>
      </c>
      <c r="J308" s="39"/>
    </row>
    <row r="309" spans="1:10" s="50" customFormat="1" x14ac:dyDescent="0.25">
      <c r="A309" s="15">
        <v>45086</v>
      </c>
      <c r="B309" s="15">
        <v>45100</v>
      </c>
      <c r="C309" s="15">
        <v>45113</v>
      </c>
      <c r="D309" s="11">
        <v>0</v>
      </c>
      <c r="E309" s="26">
        <v>0</v>
      </c>
      <c r="F309" s="11">
        <v>10</v>
      </c>
      <c r="G309" s="9">
        <v>7.8315365513647697</v>
      </c>
      <c r="H309" s="11">
        <v>15</v>
      </c>
      <c r="I309" s="9">
        <v>9.3603178347798295</v>
      </c>
      <c r="J309" s="39"/>
    </row>
    <row r="310" spans="1:10" s="50" customFormat="1" x14ac:dyDescent="0.25">
      <c r="A310" s="17">
        <v>45100</v>
      </c>
      <c r="B310" s="17">
        <v>45114</v>
      </c>
      <c r="C310" s="17">
        <v>45127</v>
      </c>
      <c r="D310" s="42">
        <v>0</v>
      </c>
      <c r="E310" s="45">
        <v>0</v>
      </c>
      <c r="F310" s="42">
        <v>0</v>
      </c>
      <c r="G310" s="51">
        <v>0</v>
      </c>
      <c r="H310" s="42">
        <v>0</v>
      </c>
      <c r="I310" s="51">
        <v>0</v>
      </c>
      <c r="J310" s="39"/>
    </row>
    <row r="311" spans="1:10" s="50" customFormat="1" x14ac:dyDescent="0.25"/>
    <row r="313" spans="1:10" x14ac:dyDescent="0.25">
      <c r="H313" s="49"/>
    </row>
    <row r="314" spans="1:10" x14ac:dyDescent="0.25">
      <c r="E314" s="44"/>
      <c r="H314" s="49"/>
    </row>
    <row r="317" spans="1:10" x14ac:dyDescent="0.25">
      <c r="E317" s="44"/>
    </row>
    <row r="326" ht="12.75" customHeight="1" x14ac:dyDescent="0.25"/>
  </sheetData>
  <printOptions horizontalCentered="1" verticalCentered="1"/>
  <pageMargins left="0.70866141732283472" right="0.70866141732283472" top="0.15748031496062992" bottom="0.15748031496062992" header="0.31496062992125984" footer="0.31496062992125984"/>
  <pageSetup paperSize="9" scale="52" fitToHeight="3" orientation="portrait" r:id="rId1"/>
  <rowBreaks count="2" manualBreakCount="2">
    <brk id="100" max="8" man="1"/>
    <brk id="200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XFB380"/>
  <sheetViews>
    <sheetView tabSelected="1" zoomScaleNormal="100" zoomScaleSheetLayoutView="100" workbookViewId="0">
      <pane ySplit="2" topLeftCell="A368" activePane="bottomLeft" state="frozen"/>
      <selection activeCell="E373" sqref="E373"/>
      <selection pane="bottomLeft" activeCell="A375" sqref="A375:E375"/>
    </sheetView>
  </sheetViews>
  <sheetFormatPr defaultColWidth="9.140625" defaultRowHeight="15" x14ac:dyDescent="0.25"/>
  <cols>
    <col min="1" max="3" width="13.85546875" style="1" customWidth="1"/>
    <col min="4" max="5" width="13.140625" style="1" customWidth="1"/>
    <col min="6" max="16384" width="9.140625" style="1"/>
  </cols>
  <sheetData>
    <row r="1" spans="1:5" ht="15" customHeight="1" x14ac:dyDescent="0.25">
      <c r="A1" s="3" t="s">
        <v>46</v>
      </c>
      <c r="B1" s="3"/>
      <c r="C1" s="3"/>
    </row>
    <row r="2" spans="1:5" ht="120" x14ac:dyDescent="0.25">
      <c r="A2" s="31" t="s">
        <v>9</v>
      </c>
      <c r="B2" s="32" t="s">
        <v>40</v>
      </c>
      <c r="C2" s="32" t="s">
        <v>41</v>
      </c>
      <c r="D2" s="32" t="s">
        <v>58</v>
      </c>
      <c r="E2" s="33" t="s">
        <v>57</v>
      </c>
    </row>
    <row r="3" spans="1:5" x14ac:dyDescent="0.25">
      <c r="A3" s="15">
        <v>40550</v>
      </c>
      <c r="B3" s="15">
        <v>40564</v>
      </c>
      <c r="C3" s="15">
        <v>40577</v>
      </c>
      <c r="D3" s="8">
        <v>7.4246927770633713</v>
      </c>
      <c r="E3" s="6">
        <v>11.000000474789857</v>
      </c>
    </row>
    <row r="4" spans="1:5" x14ac:dyDescent="0.25">
      <c r="A4" s="15">
        <v>40564</v>
      </c>
      <c r="B4" s="15">
        <v>40578</v>
      </c>
      <c r="C4" s="15">
        <v>40591</v>
      </c>
      <c r="D4" s="9">
        <v>7.4161596339730993</v>
      </c>
      <c r="E4" s="7">
        <v>11.000001831519359</v>
      </c>
    </row>
    <row r="5" spans="1:5" x14ac:dyDescent="0.25">
      <c r="A5" s="15">
        <v>40578</v>
      </c>
      <c r="B5" s="15">
        <v>40592</v>
      </c>
      <c r="C5" s="15">
        <v>40605</v>
      </c>
      <c r="D5" s="9">
        <v>9.4211750539979757</v>
      </c>
      <c r="E5" s="7">
        <v>10.999999870416456</v>
      </c>
    </row>
    <row r="6" spans="1:5" x14ac:dyDescent="0.25">
      <c r="A6" s="15">
        <v>40592</v>
      </c>
      <c r="B6" s="15">
        <v>40606</v>
      </c>
      <c r="C6" s="15">
        <v>40619</v>
      </c>
      <c r="D6" s="9">
        <v>9.438021948217532</v>
      </c>
      <c r="E6" s="7">
        <v>11.000000281034074</v>
      </c>
    </row>
    <row r="7" spans="1:5" x14ac:dyDescent="0.25">
      <c r="A7" s="15">
        <v>40606</v>
      </c>
      <c r="B7" s="15">
        <v>40620</v>
      </c>
      <c r="C7" s="15">
        <v>40633</v>
      </c>
      <c r="D7" s="9">
        <v>9.3956152143686378</v>
      </c>
      <c r="E7" s="7">
        <v>10.999999765303601</v>
      </c>
    </row>
    <row r="8" spans="1:5" x14ac:dyDescent="0.25">
      <c r="A8" s="15">
        <v>40620</v>
      </c>
      <c r="B8" s="15">
        <v>40634</v>
      </c>
      <c r="C8" s="15">
        <v>40647</v>
      </c>
      <c r="D8" s="9">
        <v>9.3881082747835993</v>
      </c>
      <c r="E8" s="7">
        <v>10.999998573972086</v>
      </c>
    </row>
    <row r="9" spans="1:5" x14ac:dyDescent="0.25">
      <c r="A9" s="15">
        <v>40634</v>
      </c>
      <c r="B9" s="15">
        <v>40648</v>
      </c>
      <c r="C9" s="15">
        <v>40661</v>
      </c>
      <c r="D9" s="9">
        <v>13.198811884154704</v>
      </c>
      <c r="E9" s="7">
        <v>10.999999634612527</v>
      </c>
    </row>
    <row r="10" spans="1:5" x14ac:dyDescent="0.25">
      <c r="A10" s="15">
        <v>40648</v>
      </c>
      <c r="B10" s="15">
        <v>40662</v>
      </c>
      <c r="C10" s="15">
        <v>40675</v>
      </c>
      <c r="D10" s="9">
        <v>13.10471641986444</v>
      </c>
      <c r="E10" s="7">
        <v>10.999999400520069</v>
      </c>
    </row>
    <row r="11" spans="1:5" x14ac:dyDescent="0.25">
      <c r="A11" s="15">
        <v>40662</v>
      </c>
      <c r="B11" s="15">
        <v>40676</v>
      </c>
      <c r="C11" s="15">
        <v>40689</v>
      </c>
      <c r="D11" s="9">
        <v>13.29511910153321</v>
      </c>
      <c r="E11" s="7">
        <v>11.827566905907741</v>
      </c>
    </row>
    <row r="12" spans="1:5" x14ac:dyDescent="0.25">
      <c r="A12" s="15">
        <v>40676</v>
      </c>
      <c r="B12" s="15">
        <v>40690</v>
      </c>
      <c r="C12" s="15">
        <v>40703</v>
      </c>
      <c r="D12" s="9">
        <v>13.278397332283326</v>
      </c>
      <c r="E12" s="7">
        <v>11.824581009424726</v>
      </c>
    </row>
    <row r="13" spans="1:5" x14ac:dyDescent="0.25">
      <c r="A13" s="15">
        <v>40690</v>
      </c>
      <c r="B13" s="15">
        <v>40704</v>
      </c>
      <c r="C13" s="15">
        <v>40717</v>
      </c>
      <c r="D13" s="9">
        <v>13.239726735561291</v>
      </c>
      <c r="E13" s="7">
        <v>11.823242825733074</v>
      </c>
    </row>
    <row r="14" spans="1:5" x14ac:dyDescent="0.25">
      <c r="A14" s="15">
        <v>40704</v>
      </c>
      <c r="B14" s="15">
        <v>40718</v>
      </c>
      <c r="C14" s="15">
        <v>40731</v>
      </c>
      <c r="D14" s="9">
        <v>13.173041786794016</v>
      </c>
      <c r="E14" s="7">
        <v>11.819162318410099</v>
      </c>
    </row>
    <row r="15" spans="1:5" x14ac:dyDescent="0.25">
      <c r="A15" s="15">
        <v>40718</v>
      </c>
      <c r="B15" s="15">
        <v>40732</v>
      </c>
      <c r="C15" s="15">
        <v>40745</v>
      </c>
      <c r="D15" s="9">
        <v>13.174359349790121</v>
      </c>
      <c r="E15" s="7">
        <v>11.82260802216971</v>
      </c>
    </row>
    <row r="16" spans="1:5" x14ac:dyDescent="0.25">
      <c r="A16" s="15">
        <v>40732</v>
      </c>
      <c r="B16" s="15">
        <v>40746</v>
      </c>
      <c r="C16" s="15">
        <v>40759</v>
      </c>
      <c r="D16" s="9">
        <v>13.147905492780557</v>
      </c>
      <c r="E16" s="7">
        <v>11.821709001053087</v>
      </c>
    </row>
    <row r="17" spans="1:5" x14ac:dyDescent="0.25">
      <c r="A17" s="15">
        <v>40746</v>
      </c>
      <c r="B17" s="15">
        <v>40760</v>
      </c>
      <c r="C17" s="15">
        <v>40773</v>
      </c>
      <c r="D17" s="9">
        <v>13.181004742510119</v>
      </c>
      <c r="E17" s="7">
        <v>11.499212792112894</v>
      </c>
    </row>
    <row r="18" spans="1:5" x14ac:dyDescent="0.25">
      <c r="A18" s="15">
        <v>40760</v>
      </c>
      <c r="B18" s="15">
        <v>40774</v>
      </c>
      <c r="C18" s="15">
        <v>40787</v>
      </c>
      <c r="D18" s="9">
        <v>13.14025311095533</v>
      </c>
      <c r="E18" s="7">
        <v>10.989081554712754</v>
      </c>
    </row>
    <row r="19" spans="1:5" x14ac:dyDescent="0.25">
      <c r="A19" s="15">
        <v>40774</v>
      </c>
      <c r="B19" s="15">
        <v>40788</v>
      </c>
      <c r="C19" s="15">
        <v>40801</v>
      </c>
      <c r="D19" s="9">
        <v>13.13977488887444</v>
      </c>
      <c r="E19" s="7">
        <v>10.986472599080553</v>
      </c>
    </row>
    <row r="20" spans="1:5" x14ac:dyDescent="0.25">
      <c r="A20" s="15">
        <v>40788</v>
      </c>
      <c r="B20" s="15">
        <v>40802</v>
      </c>
      <c r="C20" s="15">
        <v>40815</v>
      </c>
      <c r="D20" s="9">
        <v>13.102239736048713</v>
      </c>
      <c r="E20" s="7">
        <v>10.975594102669472</v>
      </c>
    </row>
    <row r="21" spans="1:5" x14ac:dyDescent="0.25">
      <c r="A21" s="15">
        <v>40802</v>
      </c>
      <c r="B21" s="15">
        <v>40816</v>
      </c>
      <c r="C21" s="15">
        <v>40829</v>
      </c>
      <c r="D21" s="9">
        <v>13.128151746699061</v>
      </c>
      <c r="E21" s="7">
        <v>10.976545495683061</v>
      </c>
    </row>
    <row r="22" spans="1:5" x14ac:dyDescent="0.25">
      <c r="A22" s="15">
        <v>40816</v>
      </c>
      <c r="B22" s="15">
        <v>40830</v>
      </c>
      <c r="C22" s="15">
        <v>40843</v>
      </c>
      <c r="D22" s="9">
        <v>12.562888110714432</v>
      </c>
      <c r="E22" s="7">
        <v>10.244529001205461</v>
      </c>
    </row>
    <row r="23" spans="1:5" x14ac:dyDescent="0.25">
      <c r="A23" s="15">
        <v>40830</v>
      </c>
      <c r="B23" s="15">
        <v>40844</v>
      </c>
      <c r="C23" s="15">
        <v>40857</v>
      </c>
      <c r="D23" s="9">
        <v>12.569325275493057</v>
      </c>
      <c r="E23" s="7">
        <v>10.262665221707248</v>
      </c>
    </row>
    <row r="24" spans="1:5" x14ac:dyDescent="0.25">
      <c r="A24" s="15">
        <v>40844</v>
      </c>
      <c r="B24" s="15">
        <v>40858</v>
      </c>
      <c r="C24" s="15">
        <v>40871</v>
      </c>
      <c r="D24" s="9">
        <v>10.457318149309556</v>
      </c>
      <c r="E24" s="7">
        <v>10.291766514370595</v>
      </c>
    </row>
    <row r="25" spans="1:5" x14ac:dyDescent="0.25">
      <c r="A25" s="15">
        <v>40858</v>
      </c>
      <c r="B25" s="15">
        <v>40872</v>
      </c>
      <c r="C25" s="15">
        <v>40885</v>
      </c>
      <c r="D25" s="9">
        <v>10.463309507652685</v>
      </c>
      <c r="E25" s="7">
        <v>10.289742481883263</v>
      </c>
    </row>
    <row r="26" spans="1:5" x14ac:dyDescent="0.25">
      <c r="A26" s="15">
        <v>40872</v>
      </c>
      <c r="B26" s="15">
        <v>40886</v>
      </c>
      <c r="C26" s="15">
        <v>40899</v>
      </c>
      <c r="D26" s="9">
        <v>10.479370813870247</v>
      </c>
      <c r="E26" s="7">
        <v>10.286082247781493</v>
      </c>
    </row>
    <row r="27" spans="1:5" x14ac:dyDescent="0.25">
      <c r="A27" s="15">
        <v>40886</v>
      </c>
      <c r="B27" s="15">
        <v>40900</v>
      </c>
      <c r="C27" s="15">
        <v>40913</v>
      </c>
      <c r="D27" s="9">
        <v>10.468779988621337</v>
      </c>
      <c r="E27" s="7">
        <v>10.273005967787803</v>
      </c>
    </row>
    <row r="28" spans="1:5" x14ac:dyDescent="0.25">
      <c r="A28" s="15">
        <v>40900</v>
      </c>
      <c r="B28" s="15">
        <v>40914</v>
      </c>
      <c r="C28" s="15">
        <v>40927</v>
      </c>
      <c r="D28" s="9">
        <v>10.47568418288088</v>
      </c>
      <c r="E28" s="7">
        <v>10.274188639471333</v>
      </c>
    </row>
    <row r="29" spans="1:5" x14ac:dyDescent="0.25">
      <c r="A29" s="15">
        <v>40914</v>
      </c>
      <c r="B29" s="15">
        <v>40928</v>
      </c>
      <c r="C29" s="15">
        <v>40941</v>
      </c>
      <c r="D29" s="9">
        <v>10.486899688136955</v>
      </c>
      <c r="E29" s="7">
        <v>10.265220929797586</v>
      </c>
    </row>
    <row r="30" spans="1:5" x14ac:dyDescent="0.25">
      <c r="A30" s="15">
        <v>40928</v>
      </c>
      <c r="B30" s="15">
        <v>40942</v>
      </c>
      <c r="C30" s="15">
        <v>40955</v>
      </c>
      <c r="D30" s="9">
        <v>10.492851467167647</v>
      </c>
      <c r="E30" s="7">
        <v>10.273154159767454</v>
      </c>
    </row>
    <row r="31" spans="1:5" x14ac:dyDescent="0.25">
      <c r="A31" s="15">
        <v>40942</v>
      </c>
      <c r="B31" s="15">
        <v>40956</v>
      </c>
      <c r="C31" s="15">
        <v>40969</v>
      </c>
      <c r="D31" s="9">
        <v>10.492675464160934</v>
      </c>
      <c r="E31" s="7">
        <v>10.289038017123872</v>
      </c>
    </row>
    <row r="32" spans="1:5" x14ac:dyDescent="0.25">
      <c r="A32" s="15">
        <v>40956</v>
      </c>
      <c r="B32" s="15">
        <v>40970</v>
      </c>
      <c r="C32" s="15">
        <v>40983</v>
      </c>
      <c r="D32" s="9">
        <v>10.494097344619178</v>
      </c>
      <c r="E32" s="7">
        <v>10.29889077299886</v>
      </c>
    </row>
    <row r="33" spans="1:5" x14ac:dyDescent="0.25">
      <c r="A33" s="15">
        <v>40970</v>
      </c>
      <c r="B33" s="15">
        <v>40984</v>
      </c>
      <c r="C33" s="15">
        <v>40997</v>
      </c>
      <c r="D33" s="9">
        <v>10.48532105153355</v>
      </c>
      <c r="E33" s="7">
        <v>10.3056517399719</v>
      </c>
    </row>
    <row r="34" spans="1:5" x14ac:dyDescent="0.25">
      <c r="A34" s="15">
        <v>40984</v>
      </c>
      <c r="B34" s="15">
        <v>40998</v>
      </c>
      <c r="C34" s="15">
        <v>41011</v>
      </c>
      <c r="D34" s="9">
        <v>10.493246781791902</v>
      </c>
      <c r="E34" s="7">
        <v>10.309226370153182</v>
      </c>
    </row>
    <row r="35" spans="1:5" x14ac:dyDescent="0.25">
      <c r="A35" s="15">
        <v>40998</v>
      </c>
      <c r="B35" s="15">
        <v>41012</v>
      </c>
      <c r="C35" s="15">
        <v>41025</v>
      </c>
      <c r="D35" s="9">
        <v>10.494573918425173</v>
      </c>
      <c r="E35" s="7">
        <v>10.308128521520985</v>
      </c>
    </row>
    <row r="36" spans="1:5" x14ac:dyDescent="0.25">
      <c r="A36" s="15">
        <v>41012</v>
      </c>
      <c r="B36" s="15">
        <v>41026</v>
      </c>
      <c r="C36" s="15">
        <v>41039</v>
      </c>
      <c r="D36" s="9">
        <v>10.494004195057531</v>
      </c>
      <c r="E36" s="7">
        <v>10.313326942779819</v>
      </c>
    </row>
    <row r="37" spans="1:5" x14ac:dyDescent="0.25">
      <c r="A37" s="15">
        <v>41026</v>
      </c>
      <c r="B37" s="15">
        <v>41040</v>
      </c>
      <c r="C37" s="15">
        <v>41053</v>
      </c>
      <c r="D37" s="9">
        <v>10.507120767535911</v>
      </c>
      <c r="E37" s="7">
        <v>10.331751198765318</v>
      </c>
    </row>
    <row r="38" spans="1:5" x14ac:dyDescent="0.25">
      <c r="A38" s="15">
        <v>41040</v>
      </c>
      <c r="B38" s="15">
        <v>41054</v>
      </c>
      <c r="C38" s="15">
        <v>41067</v>
      </c>
      <c r="D38" s="9">
        <v>10.508425662659532</v>
      </c>
      <c r="E38" s="7">
        <v>10.318103493046049</v>
      </c>
    </row>
    <row r="39" spans="1:5" x14ac:dyDescent="0.25">
      <c r="A39" s="15">
        <v>41054</v>
      </c>
      <c r="B39" s="15">
        <v>41068</v>
      </c>
      <c r="C39" s="15">
        <v>41081</v>
      </c>
      <c r="D39" s="9">
        <v>10.517445194915314</v>
      </c>
      <c r="E39" s="7">
        <v>10.325389243862077</v>
      </c>
    </row>
    <row r="40" spans="1:5" x14ac:dyDescent="0.25">
      <c r="A40" s="15">
        <v>41068</v>
      </c>
      <c r="B40" s="15">
        <v>41082</v>
      </c>
      <c r="C40" s="15">
        <v>41095</v>
      </c>
      <c r="D40" s="9">
        <v>10.517858139156974</v>
      </c>
      <c r="E40" s="7">
        <v>10.326451791139164</v>
      </c>
    </row>
    <row r="41" spans="1:5" x14ac:dyDescent="0.25">
      <c r="A41" s="15">
        <v>41082</v>
      </c>
      <c r="B41" s="15">
        <v>41096</v>
      </c>
      <c r="C41" s="15">
        <v>41109</v>
      </c>
      <c r="D41" s="9">
        <v>10.52751249921176</v>
      </c>
      <c r="E41" s="7">
        <v>10.327208138626826</v>
      </c>
    </row>
    <row r="42" spans="1:5" x14ac:dyDescent="0.25">
      <c r="A42" s="15">
        <v>41096</v>
      </c>
      <c r="B42" s="15">
        <v>41110</v>
      </c>
      <c r="C42" s="15">
        <v>41123</v>
      </c>
      <c r="D42" s="9">
        <v>10.533490854260927</v>
      </c>
      <c r="E42" s="7">
        <v>10.305275791778673</v>
      </c>
    </row>
    <row r="43" spans="1:5" x14ac:dyDescent="0.25">
      <c r="A43" s="15">
        <v>41110</v>
      </c>
      <c r="B43" s="15">
        <v>41124</v>
      </c>
      <c r="C43" s="15">
        <v>41137</v>
      </c>
      <c r="D43" s="9">
        <v>10.551892270204437</v>
      </c>
      <c r="E43" s="7">
        <v>10.293976391454899</v>
      </c>
    </row>
    <row r="44" spans="1:5" x14ac:dyDescent="0.25">
      <c r="A44" s="15">
        <v>41124</v>
      </c>
      <c r="B44" s="15">
        <v>41138</v>
      </c>
      <c r="C44" s="15">
        <v>41151</v>
      </c>
      <c r="D44" s="9">
        <v>10.552684115757049</v>
      </c>
      <c r="E44" s="7">
        <v>10.294593180984295</v>
      </c>
    </row>
    <row r="45" spans="1:5" x14ac:dyDescent="0.25">
      <c r="A45" s="15">
        <v>41138</v>
      </c>
      <c r="B45" s="15">
        <v>41152</v>
      </c>
      <c r="C45" s="15">
        <v>41165</v>
      </c>
      <c r="D45" s="9">
        <v>10.577223258005461</v>
      </c>
      <c r="E45" s="7">
        <v>10.295122725090343</v>
      </c>
    </row>
    <row r="46" spans="1:5" x14ac:dyDescent="0.25">
      <c r="A46" s="15">
        <v>41152</v>
      </c>
      <c r="B46" s="15">
        <v>41166</v>
      </c>
      <c r="C46" s="15">
        <v>41179</v>
      </c>
      <c r="D46" s="9">
        <v>10.580519999607333</v>
      </c>
      <c r="E46" s="7">
        <v>10.284243908444706</v>
      </c>
    </row>
    <row r="47" spans="1:5" x14ac:dyDescent="0.25">
      <c r="A47" s="15">
        <v>41166</v>
      </c>
      <c r="B47" s="15">
        <v>41180</v>
      </c>
      <c r="C47" s="15">
        <v>41193</v>
      </c>
      <c r="D47" s="9">
        <v>10.578777075273463</v>
      </c>
      <c r="E47" s="7">
        <v>10.25516196115295</v>
      </c>
    </row>
    <row r="48" spans="1:5" x14ac:dyDescent="0.25">
      <c r="A48" s="15">
        <v>41180</v>
      </c>
      <c r="B48" s="15">
        <v>41194</v>
      </c>
      <c r="C48" s="15">
        <v>41207</v>
      </c>
      <c r="D48" s="9">
        <v>10.577665793264639</v>
      </c>
      <c r="E48" s="7">
        <v>10.249365624092759</v>
      </c>
    </row>
    <row r="49" spans="1:5" x14ac:dyDescent="0.25">
      <c r="A49" s="15">
        <v>41194</v>
      </c>
      <c r="B49" s="15">
        <v>41208</v>
      </c>
      <c r="C49" s="15">
        <v>41221</v>
      </c>
      <c r="D49" s="9">
        <v>10.581496508177146</v>
      </c>
      <c r="E49" s="7">
        <v>10.254289454305113</v>
      </c>
    </row>
    <row r="50" spans="1:5" x14ac:dyDescent="0.25">
      <c r="A50" s="15">
        <v>41208</v>
      </c>
      <c r="B50" s="15">
        <v>41222</v>
      </c>
      <c r="C50" s="15">
        <v>41235</v>
      </c>
      <c r="D50" s="9">
        <v>10.580573557186025</v>
      </c>
      <c r="E50" s="7">
        <v>10.216918990831086</v>
      </c>
    </row>
    <row r="51" spans="1:5" x14ac:dyDescent="0.25">
      <c r="A51" s="15">
        <v>41222</v>
      </c>
      <c r="B51" s="15">
        <v>41236</v>
      </c>
      <c r="C51" s="15">
        <v>41249</v>
      </c>
      <c r="D51" s="9">
        <v>10.575216752161982</v>
      </c>
      <c r="E51" s="7">
        <v>10.226778437916886</v>
      </c>
    </row>
    <row r="52" spans="1:5" x14ac:dyDescent="0.25">
      <c r="A52" s="15">
        <v>41236</v>
      </c>
      <c r="B52" s="15">
        <v>41250</v>
      </c>
      <c r="C52" s="15">
        <v>41263</v>
      </c>
      <c r="D52" s="9">
        <v>10.571240825820194</v>
      </c>
      <c r="E52" s="7">
        <v>10.217023661334078</v>
      </c>
    </row>
    <row r="53" spans="1:5" x14ac:dyDescent="0.25">
      <c r="A53" s="15">
        <v>41250</v>
      </c>
      <c r="B53" s="15">
        <v>41264</v>
      </c>
      <c r="C53" s="15">
        <v>41277</v>
      </c>
      <c r="D53" s="9">
        <v>10.567017496127622</v>
      </c>
      <c r="E53" s="7">
        <v>10.216844847545964</v>
      </c>
    </row>
    <row r="54" spans="1:5" x14ac:dyDescent="0.25">
      <c r="A54" s="15">
        <v>41264</v>
      </c>
      <c r="B54" s="15">
        <v>41278</v>
      </c>
      <c r="C54" s="15">
        <v>41291</v>
      </c>
      <c r="D54" s="9">
        <v>10.578243418627258</v>
      </c>
      <c r="E54" s="7">
        <v>10.631092361820713</v>
      </c>
    </row>
    <row r="55" spans="1:5" x14ac:dyDescent="0.25">
      <c r="A55" s="15">
        <v>41278</v>
      </c>
      <c r="B55" s="15">
        <v>41292</v>
      </c>
      <c r="C55" s="15">
        <v>41305</v>
      </c>
      <c r="D55" s="9">
        <v>10.565891039260798</v>
      </c>
      <c r="E55" s="7">
        <v>10.642998197497514</v>
      </c>
    </row>
    <row r="56" spans="1:5" x14ac:dyDescent="0.25">
      <c r="A56" s="15">
        <v>41292</v>
      </c>
      <c r="B56" s="15">
        <v>41306</v>
      </c>
      <c r="C56" s="15">
        <v>41319</v>
      </c>
      <c r="D56" s="9">
        <v>10.545607996619442</v>
      </c>
      <c r="E56" s="7">
        <v>10.658484997021475</v>
      </c>
    </row>
    <row r="57" spans="1:5" x14ac:dyDescent="0.25">
      <c r="A57" s="15">
        <v>41306</v>
      </c>
      <c r="B57" s="15">
        <v>41320</v>
      </c>
      <c r="C57" s="15">
        <v>41333</v>
      </c>
      <c r="D57" s="9">
        <v>10.763526891530868</v>
      </c>
      <c r="E57" s="7">
        <v>11.085182535256639</v>
      </c>
    </row>
    <row r="58" spans="1:5" x14ac:dyDescent="0.25">
      <c r="A58" s="15">
        <v>41320</v>
      </c>
      <c r="B58" s="15">
        <v>41334</v>
      </c>
      <c r="C58" s="15">
        <v>41347</v>
      </c>
      <c r="D58" s="9">
        <v>10.740111380212573</v>
      </c>
      <c r="E58" s="7">
        <v>11.065496319266908</v>
      </c>
    </row>
    <row r="59" spans="1:5" x14ac:dyDescent="0.25">
      <c r="A59" s="15">
        <v>41334</v>
      </c>
      <c r="B59" s="15">
        <v>41348</v>
      </c>
      <c r="C59" s="15">
        <v>41361</v>
      </c>
      <c r="D59" s="9">
        <v>10.968177744019769</v>
      </c>
      <c r="E59" s="7">
        <v>11.502936290306947</v>
      </c>
    </row>
    <row r="60" spans="1:5" x14ac:dyDescent="0.25">
      <c r="A60" s="15">
        <v>41348</v>
      </c>
      <c r="B60" s="15">
        <v>41362</v>
      </c>
      <c r="C60" s="15">
        <v>41375</v>
      </c>
      <c r="D60" s="9">
        <v>10.937887665118112</v>
      </c>
      <c r="E60" s="7">
        <v>11.489037996664759</v>
      </c>
    </row>
    <row r="61" spans="1:5" x14ac:dyDescent="0.25">
      <c r="A61" s="15">
        <v>41362</v>
      </c>
      <c r="B61" s="15">
        <v>41376</v>
      </c>
      <c r="C61" s="15">
        <v>41389</v>
      </c>
      <c r="D61" s="9">
        <v>10.917825093606375</v>
      </c>
      <c r="E61" s="7">
        <v>11.493320045616478</v>
      </c>
    </row>
    <row r="62" spans="1:5" x14ac:dyDescent="0.25">
      <c r="A62" s="15">
        <v>41376</v>
      </c>
      <c r="B62" s="15">
        <v>41390</v>
      </c>
      <c r="C62" s="15">
        <v>41403</v>
      </c>
      <c r="D62" s="9">
        <v>10.904326157062618</v>
      </c>
      <c r="E62" s="7">
        <v>11.503535164178412</v>
      </c>
    </row>
    <row r="63" spans="1:5" x14ac:dyDescent="0.25">
      <c r="A63" s="15">
        <v>41390</v>
      </c>
      <c r="B63" s="15">
        <v>41404</v>
      </c>
      <c r="C63" s="15">
        <v>41417</v>
      </c>
      <c r="D63" s="9">
        <v>10.897065510949924</v>
      </c>
      <c r="E63" s="7">
        <v>11.497006909160925</v>
      </c>
    </row>
    <row r="64" spans="1:5" x14ac:dyDescent="0.25">
      <c r="A64" s="15">
        <v>41404</v>
      </c>
      <c r="B64" s="15">
        <v>41418</v>
      </c>
      <c r="C64" s="15">
        <v>41431</v>
      </c>
      <c r="D64" s="9">
        <v>10.883969151518382</v>
      </c>
      <c r="E64" s="7">
        <v>11.490759633895049</v>
      </c>
    </row>
    <row r="65" spans="1:5" x14ac:dyDescent="0.25">
      <c r="A65" s="15">
        <v>41418</v>
      </c>
      <c r="B65" s="15">
        <v>41432</v>
      </c>
      <c r="C65" s="15">
        <v>41445</v>
      </c>
      <c r="D65" s="9">
        <v>10.857209890345194</v>
      </c>
      <c r="E65" s="7">
        <v>11.908845790315151</v>
      </c>
    </row>
    <row r="66" spans="1:5" x14ac:dyDescent="0.25">
      <c r="A66" s="15">
        <v>41432</v>
      </c>
      <c r="B66" s="15">
        <v>41446</v>
      </c>
      <c r="C66" s="15">
        <v>41459</v>
      </c>
      <c r="D66" s="9">
        <v>10.851280162371555</v>
      </c>
      <c r="E66" s="7">
        <v>11.901187791570855</v>
      </c>
    </row>
    <row r="67" spans="1:5" x14ac:dyDescent="0.25">
      <c r="A67" s="15">
        <v>41446</v>
      </c>
      <c r="B67" s="15">
        <v>41460</v>
      </c>
      <c r="C67" s="15">
        <v>41473</v>
      </c>
      <c r="D67" s="9">
        <v>10.865182406513666</v>
      </c>
      <c r="E67" s="7">
        <v>11.91981141578658</v>
      </c>
    </row>
    <row r="68" spans="1:5" x14ac:dyDescent="0.25">
      <c r="A68" s="15">
        <v>41460</v>
      </c>
      <c r="B68" s="15">
        <v>41474</v>
      </c>
      <c r="C68" s="15">
        <v>41487</v>
      </c>
      <c r="D68" s="9">
        <v>10.87501866090822</v>
      </c>
      <c r="E68" s="7">
        <v>11.906376262147527</v>
      </c>
    </row>
    <row r="69" spans="1:5" x14ac:dyDescent="0.25">
      <c r="A69" s="15">
        <v>41474</v>
      </c>
      <c r="B69" s="15">
        <v>41488</v>
      </c>
      <c r="C69" s="15">
        <v>41501</v>
      </c>
      <c r="D69" s="9">
        <v>10.903376269743264</v>
      </c>
      <c r="E69" s="7">
        <v>11.892480347968412</v>
      </c>
    </row>
    <row r="70" spans="1:5" x14ac:dyDescent="0.25">
      <c r="A70" s="15">
        <v>41488</v>
      </c>
      <c r="B70" s="15">
        <v>41502</v>
      </c>
      <c r="C70" s="15">
        <v>41515</v>
      </c>
      <c r="D70" s="9">
        <v>10.916559892078705</v>
      </c>
      <c r="E70" s="7">
        <v>11.895906808666734</v>
      </c>
    </row>
    <row r="71" spans="1:5" x14ac:dyDescent="0.25">
      <c r="A71" s="15">
        <v>41502</v>
      </c>
      <c r="B71" s="15">
        <v>41519</v>
      </c>
      <c r="C71" s="15">
        <v>41529</v>
      </c>
      <c r="D71" s="9">
        <v>10.921661095095809</v>
      </c>
      <c r="E71" s="7">
        <v>11.905569247342214</v>
      </c>
    </row>
    <row r="72" spans="1:5" x14ac:dyDescent="0.25">
      <c r="A72" s="15">
        <v>41519</v>
      </c>
      <c r="B72" s="15">
        <v>41530</v>
      </c>
      <c r="C72" s="15">
        <v>41543</v>
      </c>
      <c r="D72" s="9">
        <v>10.940557965032449</v>
      </c>
      <c r="E72" s="7">
        <v>11.923478214938029</v>
      </c>
    </row>
    <row r="73" spans="1:5" x14ac:dyDescent="0.25">
      <c r="A73" s="15">
        <v>41530</v>
      </c>
      <c r="B73" s="15">
        <v>41544</v>
      </c>
      <c r="C73" s="15">
        <v>41557</v>
      </c>
      <c r="D73" s="9">
        <v>10.972685020653229</v>
      </c>
      <c r="E73" s="7">
        <v>11.918179733729604</v>
      </c>
    </row>
    <row r="74" spans="1:5" x14ac:dyDescent="0.25">
      <c r="A74" s="15">
        <v>41544</v>
      </c>
      <c r="B74" s="15">
        <v>41558</v>
      </c>
      <c r="C74" s="15">
        <v>41571</v>
      </c>
      <c r="D74" s="9">
        <v>10.986838796729938</v>
      </c>
      <c r="E74" s="7">
        <v>11.926757235551886</v>
      </c>
    </row>
    <row r="75" spans="1:5" x14ac:dyDescent="0.25">
      <c r="A75" s="15">
        <v>41558</v>
      </c>
      <c r="B75" s="15">
        <v>41572</v>
      </c>
      <c r="C75" s="15">
        <v>41585</v>
      </c>
      <c r="D75" s="9">
        <v>10.995255155026344</v>
      </c>
      <c r="E75" s="7">
        <v>11.925134426687906</v>
      </c>
    </row>
    <row r="76" spans="1:5" x14ac:dyDescent="0.25">
      <c r="A76" s="15">
        <v>41572</v>
      </c>
      <c r="B76" s="15">
        <v>41586</v>
      </c>
      <c r="C76" s="15">
        <v>41599</v>
      </c>
      <c r="D76" s="9">
        <v>10.992268860407501</v>
      </c>
      <c r="E76" s="7">
        <v>11.920028320438862</v>
      </c>
    </row>
    <row r="77" spans="1:5" x14ac:dyDescent="0.25">
      <c r="A77" s="15">
        <v>41586</v>
      </c>
      <c r="B77" s="15">
        <v>41600</v>
      </c>
      <c r="C77" s="15">
        <v>41613</v>
      </c>
      <c r="D77" s="9">
        <v>11.000739903571301</v>
      </c>
      <c r="E77" s="7">
        <v>11.905867329554376</v>
      </c>
    </row>
    <row r="78" spans="1:5" x14ac:dyDescent="0.25">
      <c r="A78" s="15">
        <v>41600</v>
      </c>
      <c r="B78" s="15">
        <v>41614</v>
      </c>
      <c r="C78" s="15">
        <v>41627</v>
      </c>
      <c r="D78" s="9">
        <v>11.008090799713298</v>
      </c>
      <c r="E78" s="7">
        <v>11.917724899290603</v>
      </c>
    </row>
    <row r="79" spans="1:5" x14ac:dyDescent="0.25">
      <c r="A79" s="15">
        <v>41614</v>
      </c>
      <c r="B79" s="15">
        <v>41628</v>
      </c>
      <c r="C79" s="15">
        <v>41641</v>
      </c>
      <c r="D79" s="9">
        <v>11.003220652649675</v>
      </c>
      <c r="E79" s="7">
        <v>11.896202793912753</v>
      </c>
    </row>
    <row r="80" spans="1:5" x14ac:dyDescent="0.25">
      <c r="A80" s="15">
        <v>41628</v>
      </c>
      <c r="B80" s="15">
        <v>41642</v>
      </c>
      <c r="C80" s="15">
        <v>41655</v>
      </c>
      <c r="D80" s="9">
        <v>11.006729105881023</v>
      </c>
      <c r="E80" s="7">
        <v>11.897268467847299</v>
      </c>
    </row>
    <row r="81" spans="1:5" x14ac:dyDescent="0.25">
      <c r="A81" s="15">
        <v>41642</v>
      </c>
      <c r="B81" s="15">
        <v>41656</v>
      </c>
      <c r="C81" s="15">
        <v>41669</v>
      </c>
      <c r="D81" s="9">
        <v>11.024201674220468</v>
      </c>
      <c r="E81" s="7">
        <v>11.874499590882747</v>
      </c>
    </row>
    <row r="82" spans="1:5" x14ac:dyDescent="0.25">
      <c r="A82" s="15">
        <v>41656</v>
      </c>
      <c r="B82" s="15">
        <v>41670</v>
      </c>
      <c r="C82" s="15">
        <v>41683</v>
      </c>
      <c r="D82" s="9">
        <v>11.028033011361401</v>
      </c>
      <c r="E82" s="7">
        <v>11.856234441930896</v>
      </c>
    </row>
    <row r="83" spans="1:5" x14ac:dyDescent="0.25">
      <c r="A83" s="15">
        <v>41670</v>
      </c>
      <c r="B83" s="15">
        <v>41684</v>
      </c>
      <c r="C83" s="15">
        <v>41697</v>
      </c>
      <c r="D83" s="9">
        <v>11.034403459556973</v>
      </c>
      <c r="E83" s="7">
        <v>11.862999129727898</v>
      </c>
    </row>
    <row r="84" spans="1:5" x14ac:dyDescent="0.25">
      <c r="A84" s="15">
        <v>41684</v>
      </c>
      <c r="B84" s="15">
        <v>41698</v>
      </c>
      <c r="C84" s="15">
        <v>41711</v>
      </c>
      <c r="D84" s="9">
        <v>11.03517387964315</v>
      </c>
      <c r="E84" s="7">
        <v>11.890491626957218</v>
      </c>
    </row>
    <row r="85" spans="1:5" x14ac:dyDescent="0.25">
      <c r="A85" s="15">
        <v>41698</v>
      </c>
      <c r="B85" s="15">
        <v>41712</v>
      </c>
      <c r="C85" s="15">
        <v>41725</v>
      </c>
      <c r="D85" s="9">
        <v>11.038176392805617</v>
      </c>
      <c r="E85" s="7">
        <v>11.896796887528863</v>
      </c>
    </row>
    <row r="86" spans="1:5" x14ac:dyDescent="0.25">
      <c r="A86" s="15">
        <v>41712</v>
      </c>
      <c r="B86" s="15">
        <v>41726</v>
      </c>
      <c r="C86" s="15">
        <v>41739</v>
      </c>
      <c r="D86" s="9">
        <v>11.050430519839939</v>
      </c>
      <c r="E86" s="7">
        <v>11.894879665574788</v>
      </c>
    </row>
    <row r="87" spans="1:5" x14ac:dyDescent="0.25">
      <c r="A87" s="15">
        <v>41726</v>
      </c>
      <c r="B87" s="15">
        <v>41740</v>
      </c>
      <c r="C87" s="15">
        <v>41753</v>
      </c>
      <c r="D87" s="9">
        <v>11.043552997596381</v>
      </c>
      <c r="E87" s="7">
        <v>11.925913654094391</v>
      </c>
    </row>
    <row r="88" spans="1:5" x14ac:dyDescent="0.25">
      <c r="A88" s="15">
        <v>41740</v>
      </c>
      <c r="B88" s="15">
        <v>41754</v>
      </c>
      <c r="C88" s="15">
        <v>41767</v>
      </c>
      <c r="D88" s="9">
        <v>11.04535133974775</v>
      </c>
      <c r="E88" s="7">
        <v>11.930681637658619</v>
      </c>
    </row>
    <row r="89" spans="1:5" x14ac:dyDescent="0.25">
      <c r="A89" s="15">
        <v>41754</v>
      </c>
      <c r="B89" s="15">
        <v>41768</v>
      </c>
      <c r="C89" s="15">
        <v>41781</v>
      </c>
      <c r="D89" s="9">
        <v>11.038162231967959</v>
      </c>
      <c r="E89" s="7">
        <v>11.896035905814188</v>
      </c>
    </row>
    <row r="90" spans="1:5" x14ac:dyDescent="0.25">
      <c r="A90" s="15">
        <v>41768</v>
      </c>
      <c r="B90" s="15">
        <v>41782</v>
      </c>
      <c r="C90" s="15">
        <v>41795</v>
      </c>
      <c r="D90" s="9">
        <v>11.026056559411874</v>
      </c>
      <c r="E90" s="7">
        <v>11.888010913085806</v>
      </c>
    </row>
    <row r="91" spans="1:5" x14ac:dyDescent="0.25">
      <c r="A91" s="15">
        <v>41782</v>
      </c>
      <c r="B91" s="15">
        <v>41796</v>
      </c>
      <c r="C91" s="15">
        <v>41809</v>
      </c>
      <c r="D91" s="9">
        <v>11.017896666317565</v>
      </c>
      <c r="E91" s="7">
        <v>11.88099957501867</v>
      </c>
    </row>
    <row r="92" spans="1:5" x14ac:dyDescent="0.25">
      <c r="A92" s="15">
        <v>41796</v>
      </c>
      <c r="B92" s="15">
        <v>41810</v>
      </c>
      <c r="C92" s="15">
        <v>41823</v>
      </c>
      <c r="D92" s="9">
        <v>11.00915075914768</v>
      </c>
      <c r="E92" s="7">
        <v>11.874882884328869</v>
      </c>
    </row>
    <row r="93" spans="1:5" x14ac:dyDescent="0.25">
      <c r="A93" s="15">
        <v>41810</v>
      </c>
      <c r="B93" s="15">
        <v>41824</v>
      </c>
      <c r="C93" s="15">
        <v>41837</v>
      </c>
      <c r="D93" s="9">
        <v>11.000627456490454</v>
      </c>
      <c r="E93" s="7">
        <v>11.850501295925611</v>
      </c>
    </row>
    <row r="94" spans="1:5" x14ac:dyDescent="0.25">
      <c r="A94" s="15">
        <v>41824</v>
      </c>
      <c r="B94" s="15">
        <v>41838</v>
      </c>
      <c r="C94" s="15">
        <v>41851</v>
      </c>
      <c r="D94" s="9">
        <v>10.997668187925736</v>
      </c>
      <c r="E94" s="7">
        <v>11.757640622713694</v>
      </c>
    </row>
    <row r="95" spans="1:5" x14ac:dyDescent="0.25">
      <c r="A95" s="15">
        <v>41838</v>
      </c>
      <c r="B95" s="15">
        <v>41852</v>
      </c>
      <c r="C95" s="15">
        <v>41865</v>
      </c>
      <c r="D95" s="9">
        <v>10.997031451852729</v>
      </c>
      <c r="E95" s="7">
        <v>11.731359196853845</v>
      </c>
    </row>
    <row r="96" spans="1:5" x14ac:dyDescent="0.25">
      <c r="A96" s="15">
        <v>41852</v>
      </c>
      <c r="B96" s="15">
        <v>41866</v>
      </c>
      <c r="C96" s="15">
        <v>41879</v>
      </c>
      <c r="D96" s="9">
        <v>11.006085222285025</v>
      </c>
      <c r="E96" s="7">
        <v>11.74783769286822</v>
      </c>
    </row>
    <row r="97" spans="1:5" x14ac:dyDescent="0.25">
      <c r="A97" s="15">
        <v>41866</v>
      </c>
      <c r="B97" s="15">
        <v>41880</v>
      </c>
      <c r="C97" s="15">
        <v>41893</v>
      </c>
      <c r="D97" s="9">
        <v>10.996119881914959</v>
      </c>
      <c r="E97" s="7">
        <v>11.759766698722423</v>
      </c>
    </row>
    <row r="98" spans="1:5" x14ac:dyDescent="0.25">
      <c r="A98" s="15">
        <v>41880</v>
      </c>
      <c r="B98" s="15">
        <v>41894</v>
      </c>
      <c r="C98" s="15">
        <v>41907</v>
      </c>
      <c r="D98" s="9">
        <v>10.987341045229689</v>
      </c>
      <c r="E98" s="7">
        <v>11.752006578088315</v>
      </c>
    </row>
    <row r="99" spans="1:5" x14ac:dyDescent="0.25">
      <c r="A99" s="15">
        <v>41894</v>
      </c>
      <c r="B99" s="15">
        <v>41908</v>
      </c>
      <c r="C99" s="15">
        <v>41921</v>
      </c>
      <c r="D99" s="9">
        <v>10.99900791843255</v>
      </c>
      <c r="E99" s="7">
        <v>11.737572586122951</v>
      </c>
    </row>
    <row r="100" spans="1:5" x14ac:dyDescent="0.25">
      <c r="A100" s="15">
        <v>41908</v>
      </c>
      <c r="B100" s="15">
        <v>41922</v>
      </c>
      <c r="C100" s="15">
        <v>41935</v>
      </c>
      <c r="D100" s="9">
        <v>11.018535997899164</v>
      </c>
      <c r="E100" s="7">
        <v>11.748677472832263</v>
      </c>
    </row>
    <row r="101" spans="1:5" x14ac:dyDescent="0.25">
      <c r="A101" s="15">
        <v>41922</v>
      </c>
      <c r="B101" s="15">
        <v>41936</v>
      </c>
      <c r="C101" s="15">
        <v>41949</v>
      </c>
      <c r="D101" s="9">
        <v>11.017517659481356</v>
      </c>
      <c r="E101" s="7">
        <v>11.746338300675477</v>
      </c>
    </row>
    <row r="102" spans="1:5" x14ac:dyDescent="0.25">
      <c r="A102" s="15">
        <v>41936</v>
      </c>
      <c r="B102" s="15">
        <v>41950</v>
      </c>
      <c r="C102" s="15">
        <v>41963</v>
      </c>
      <c r="D102" s="9">
        <v>11.009126002320437</v>
      </c>
      <c r="E102" s="7">
        <v>11.743054405013035</v>
      </c>
    </row>
    <row r="103" spans="1:5" x14ac:dyDescent="0.25">
      <c r="A103" s="15">
        <v>41950</v>
      </c>
      <c r="B103" s="15">
        <v>41964</v>
      </c>
      <c r="C103" s="15">
        <v>41977</v>
      </c>
      <c r="D103" s="9">
        <v>11.005829041426127</v>
      </c>
      <c r="E103" s="7">
        <v>11.737661169645991</v>
      </c>
    </row>
    <row r="104" spans="1:5" x14ac:dyDescent="0.25">
      <c r="A104" s="15">
        <v>41964</v>
      </c>
      <c r="B104" s="15">
        <v>41978</v>
      </c>
      <c r="C104" s="15">
        <v>41991</v>
      </c>
      <c r="D104" s="9">
        <v>11.012337946080946</v>
      </c>
      <c r="E104" s="7">
        <v>11.740149561287177</v>
      </c>
    </row>
    <row r="105" spans="1:5" x14ac:dyDescent="0.25">
      <c r="A105" s="15">
        <v>41978</v>
      </c>
      <c r="B105" s="15">
        <v>41992</v>
      </c>
      <c r="C105" s="15">
        <v>42005</v>
      </c>
      <c r="D105" s="9">
        <v>11.012651703220094</v>
      </c>
      <c r="E105" s="7">
        <v>11.704844881816417</v>
      </c>
    </row>
    <row r="106" spans="1:5" x14ac:dyDescent="0.25">
      <c r="A106" s="15">
        <v>41992</v>
      </c>
      <c r="B106" s="15">
        <v>42006</v>
      </c>
      <c r="C106" s="15">
        <v>42019</v>
      </c>
      <c r="D106" s="9">
        <v>11.025248849690307</v>
      </c>
      <c r="E106" s="7">
        <v>11.645922296760967</v>
      </c>
    </row>
    <row r="107" spans="1:5" x14ac:dyDescent="0.25">
      <c r="A107" s="15">
        <v>42006</v>
      </c>
      <c r="B107" s="15">
        <v>42020</v>
      </c>
      <c r="C107" s="15">
        <v>42033</v>
      </c>
      <c r="D107" s="9">
        <v>11.030702927137078</v>
      </c>
      <c r="E107" s="7">
        <v>11.620480929560054</v>
      </c>
    </row>
    <row r="108" spans="1:5" x14ac:dyDescent="0.25">
      <c r="A108" s="15">
        <v>42020</v>
      </c>
      <c r="B108" s="15">
        <v>42034</v>
      </c>
      <c r="C108" s="15">
        <v>42047</v>
      </c>
      <c r="D108" s="9">
        <v>11.031470664508399</v>
      </c>
      <c r="E108" s="7">
        <v>11.652624199837915</v>
      </c>
    </row>
    <row r="109" spans="1:5" x14ac:dyDescent="0.25">
      <c r="A109" s="15">
        <v>42034</v>
      </c>
      <c r="B109" s="15">
        <v>42048</v>
      </c>
      <c r="C109" s="15">
        <v>42061</v>
      </c>
      <c r="D109" s="9">
        <v>11.028654846858748</v>
      </c>
      <c r="E109" s="7">
        <v>11.609707167697815</v>
      </c>
    </row>
    <row r="110" spans="1:5" x14ac:dyDescent="0.25">
      <c r="A110" s="15">
        <v>42048</v>
      </c>
      <c r="B110" s="15">
        <v>42062</v>
      </c>
      <c r="C110" s="15">
        <v>42075</v>
      </c>
      <c r="D110" s="9">
        <v>11.039537828726765</v>
      </c>
      <c r="E110" s="7">
        <v>12.691730076815233</v>
      </c>
    </row>
    <row r="111" spans="1:5" x14ac:dyDescent="0.25">
      <c r="A111" s="15">
        <v>42062</v>
      </c>
      <c r="B111" s="15">
        <v>42076</v>
      </c>
      <c r="C111" s="15">
        <v>42089</v>
      </c>
      <c r="D111" s="9">
        <v>11.017862076740732</v>
      </c>
      <c r="E111" s="7">
        <v>12.688723121695396</v>
      </c>
    </row>
    <row r="112" spans="1:5" x14ac:dyDescent="0.25">
      <c r="A112" s="15">
        <v>42076</v>
      </c>
      <c r="B112" s="15">
        <v>42090</v>
      </c>
      <c r="C112" s="15">
        <v>42103</v>
      </c>
      <c r="D112" s="9">
        <v>11.027600481652886</v>
      </c>
      <c r="E112" s="7">
        <v>13.093180430420698</v>
      </c>
    </row>
    <row r="113" spans="1:5" x14ac:dyDescent="0.25">
      <c r="A113" s="15">
        <v>42090</v>
      </c>
      <c r="B113" s="15">
        <v>42104</v>
      </c>
      <c r="C113" s="15">
        <v>42117</v>
      </c>
      <c r="D113" s="9">
        <v>11.038124539491486</v>
      </c>
      <c r="E113" s="7">
        <v>13.055585655823949</v>
      </c>
    </row>
    <row r="114" spans="1:5" x14ac:dyDescent="0.25">
      <c r="A114" s="15">
        <v>42104</v>
      </c>
      <c r="B114" s="15">
        <v>42118</v>
      </c>
      <c r="C114" s="15">
        <v>42131</v>
      </c>
      <c r="D114" s="9">
        <v>11.048910059675098</v>
      </c>
      <c r="E114" s="7">
        <v>12.998747555812526</v>
      </c>
    </row>
    <row r="115" spans="1:5" x14ac:dyDescent="0.25">
      <c r="A115" s="15">
        <v>42118</v>
      </c>
      <c r="B115" s="15">
        <v>42132</v>
      </c>
      <c r="C115" s="15">
        <v>42145</v>
      </c>
      <c r="D115" s="9">
        <v>11.056713073174432</v>
      </c>
      <c r="E115" s="7">
        <v>12.946701077482334</v>
      </c>
    </row>
    <row r="116" spans="1:5" x14ac:dyDescent="0.25">
      <c r="A116" s="15">
        <v>42132</v>
      </c>
      <c r="B116" s="15">
        <v>42146</v>
      </c>
      <c r="C116" s="15">
        <v>42159</v>
      </c>
      <c r="D116" s="9">
        <v>11.067531085798</v>
      </c>
      <c r="E116" s="7">
        <v>12.8979292598383</v>
      </c>
    </row>
    <row r="117" spans="1:5" x14ac:dyDescent="0.25">
      <c r="A117" s="15">
        <v>42146</v>
      </c>
      <c r="B117" s="15">
        <v>42160</v>
      </c>
      <c r="C117" s="15">
        <v>42173</v>
      </c>
      <c r="D117" s="9">
        <v>11.066323366736899</v>
      </c>
      <c r="E117" s="7">
        <v>12.8789248044872</v>
      </c>
    </row>
    <row r="118" spans="1:5" x14ac:dyDescent="0.25">
      <c r="A118" s="15">
        <v>42160</v>
      </c>
      <c r="B118" s="15">
        <v>42174</v>
      </c>
      <c r="C118" s="15">
        <v>42187</v>
      </c>
      <c r="D118" s="9">
        <v>11.0684078550377</v>
      </c>
      <c r="E118" s="7">
        <v>12.8064220668223</v>
      </c>
    </row>
    <row r="119" spans="1:5" x14ac:dyDescent="0.25">
      <c r="A119" s="15">
        <v>42174</v>
      </c>
      <c r="B119" s="15">
        <v>42188</v>
      </c>
      <c r="C119" s="15">
        <v>42201</v>
      </c>
      <c r="D119" s="9">
        <v>11.126961199560103</v>
      </c>
      <c r="E119" s="7">
        <v>12.608728866382544</v>
      </c>
    </row>
    <row r="120" spans="1:5" x14ac:dyDescent="0.25">
      <c r="A120" s="15">
        <v>42188</v>
      </c>
      <c r="B120" s="15">
        <v>42205</v>
      </c>
      <c r="C120" s="15">
        <v>42215</v>
      </c>
      <c r="D120" s="9">
        <v>11.038521438329584</v>
      </c>
      <c r="E120" s="7">
        <v>12.704389191250176</v>
      </c>
    </row>
    <row r="121" spans="1:5" x14ac:dyDescent="0.25">
      <c r="A121" s="15">
        <v>42205</v>
      </c>
      <c r="B121" s="15">
        <v>42216</v>
      </c>
      <c r="C121" s="15">
        <v>42229</v>
      </c>
      <c r="D121" s="9">
        <v>11.0424936490649</v>
      </c>
      <c r="E121" s="7">
        <v>12.677170841117261</v>
      </c>
    </row>
    <row r="122" spans="1:5" x14ac:dyDescent="0.25">
      <c r="A122" s="15">
        <v>42216</v>
      </c>
      <c r="B122" s="15">
        <v>42230</v>
      </c>
      <c r="C122" s="15">
        <v>42243</v>
      </c>
      <c r="D122" s="9">
        <v>11.062889431912501</v>
      </c>
      <c r="E122" s="7">
        <v>12.644942072828499</v>
      </c>
    </row>
    <row r="123" spans="1:5" x14ac:dyDescent="0.25">
      <c r="A123" s="15">
        <v>42230</v>
      </c>
      <c r="B123" s="15">
        <v>42244</v>
      </c>
      <c r="C123" s="15">
        <v>42257</v>
      </c>
      <c r="D123" s="9">
        <v>11.059687110368003</v>
      </c>
      <c r="E123" s="7">
        <v>12.602759071145146</v>
      </c>
    </row>
    <row r="124" spans="1:5" x14ac:dyDescent="0.25">
      <c r="A124" s="15">
        <v>42244</v>
      </c>
      <c r="B124" s="15">
        <v>42258</v>
      </c>
      <c r="C124" s="15">
        <v>42271</v>
      </c>
      <c r="D124" s="9">
        <v>11.078328586142934</v>
      </c>
      <c r="E124" s="7">
        <v>12.543452816719874</v>
      </c>
    </row>
    <row r="125" spans="1:5" x14ac:dyDescent="0.25">
      <c r="A125" s="15">
        <v>42258</v>
      </c>
      <c r="B125" s="15">
        <v>42275</v>
      </c>
      <c r="C125" s="15">
        <v>42285</v>
      </c>
      <c r="D125" s="9">
        <v>11.094506327626412</v>
      </c>
      <c r="E125" s="7">
        <v>12.523868132044299</v>
      </c>
    </row>
    <row r="126" spans="1:5" x14ac:dyDescent="0.25">
      <c r="A126" s="15">
        <v>42270</v>
      </c>
      <c r="B126" s="15">
        <v>42286</v>
      </c>
      <c r="C126" s="15">
        <v>42299</v>
      </c>
      <c r="D126" s="9">
        <v>11.089964765381556</v>
      </c>
      <c r="E126" s="7">
        <v>12.422769600534997</v>
      </c>
    </row>
    <row r="127" spans="1:5" x14ac:dyDescent="0.25">
      <c r="A127" s="15">
        <v>42286</v>
      </c>
      <c r="B127" s="15">
        <v>42300</v>
      </c>
      <c r="C127" s="15">
        <v>42313</v>
      </c>
      <c r="D127" s="9">
        <v>11.102210484390227</v>
      </c>
      <c r="E127" s="7">
        <v>12.665698910033591</v>
      </c>
    </row>
    <row r="128" spans="1:5" x14ac:dyDescent="0.25">
      <c r="A128" s="15">
        <v>42300</v>
      </c>
      <c r="B128" s="15">
        <v>42314</v>
      </c>
      <c r="C128" s="15">
        <v>42327</v>
      </c>
      <c r="D128" s="9">
        <v>11.09921229518088</v>
      </c>
      <c r="E128" s="7">
        <v>12.692756183283278</v>
      </c>
    </row>
    <row r="129" spans="1:5" x14ac:dyDescent="0.25">
      <c r="A129" s="15">
        <v>42314</v>
      </c>
      <c r="B129" s="15">
        <v>42328</v>
      </c>
      <c r="C129" s="15">
        <v>42341</v>
      </c>
      <c r="D129" s="9">
        <v>11.091711181989847</v>
      </c>
      <c r="E129" s="7">
        <v>12.737302468140928</v>
      </c>
    </row>
    <row r="130" spans="1:5" x14ac:dyDescent="0.25">
      <c r="A130" s="15">
        <v>42328</v>
      </c>
      <c r="B130" s="15">
        <v>42342</v>
      </c>
      <c r="C130" s="15">
        <v>42355</v>
      </c>
      <c r="D130" s="9">
        <v>11.088255506342659</v>
      </c>
      <c r="E130" s="7">
        <v>12.761544860304133</v>
      </c>
    </row>
    <row r="131" spans="1:5" x14ac:dyDescent="0.25">
      <c r="A131" s="15">
        <v>42342</v>
      </c>
      <c r="B131" s="15">
        <v>42356</v>
      </c>
      <c r="C131" s="15">
        <v>42372</v>
      </c>
      <c r="D131" s="9">
        <v>11.088784923624971</v>
      </c>
      <c r="E131" s="7">
        <v>12.767559926019617</v>
      </c>
    </row>
    <row r="132" spans="1:5" x14ac:dyDescent="0.25">
      <c r="A132" s="15">
        <v>42356</v>
      </c>
      <c r="B132" s="15">
        <v>42373</v>
      </c>
      <c r="C132" s="15">
        <v>42383</v>
      </c>
      <c r="D132" s="9">
        <v>11.087261325177666</v>
      </c>
      <c r="E132" s="7">
        <v>12.789606780686572</v>
      </c>
    </row>
    <row r="133" spans="1:5" x14ac:dyDescent="0.25">
      <c r="A133" s="15">
        <v>42369</v>
      </c>
      <c r="B133" s="15">
        <v>42384</v>
      </c>
      <c r="C133" s="15">
        <v>42397</v>
      </c>
      <c r="D133" s="9">
        <v>11.083422525340556</v>
      </c>
      <c r="E133" s="7">
        <v>12.831499488756506</v>
      </c>
    </row>
    <row r="134" spans="1:5" x14ac:dyDescent="0.25">
      <c r="A134" s="15">
        <v>42384</v>
      </c>
      <c r="B134" s="15">
        <v>42398</v>
      </c>
      <c r="C134" s="15">
        <v>42411</v>
      </c>
      <c r="D134" s="9">
        <v>11.094427471176179</v>
      </c>
      <c r="E134" s="7">
        <v>12.830499490321678</v>
      </c>
    </row>
    <row r="135" spans="1:5" x14ac:dyDescent="0.25">
      <c r="A135" s="15">
        <v>42398</v>
      </c>
      <c r="B135" s="15">
        <v>42412</v>
      </c>
      <c r="C135" s="15">
        <v>42425</v>
      </c>
      <c r="D135" s="9">
        <v>11.086648472452822</v>
      </c>
      <c r="E135" s="7">
        <v>12.830336165071653</v>
      </c>
    </row>
    <row r="136" spans="1:5" x14ac:dyDescent="0.25">
      <c r="A136" s="15">
        <v>42412</v>
      </c>
      <c r="B136" s="15">
        <v>42426</v>
      </c>
      <c r="C136" s="15">
        <v>42439</v>
      </c>
      <c r="D136" s="9">
        <v>11.080999274097822</v>
      </c>
      <c r="E136" s="7">
        <v>13.37667079149853</v>
      </c>
    </row>
    <row r="137" spans="1:5" x14ac:dyDescent="0.25">
      <c r="A137" s="15">
        <v>42426</v>
      </c>
      <c r="B137" s="15">
        <v>42440</v>
      </c>
      <c r="C137" s="15">
        <v>42453</v>
      </c>
      <c r="D137" s="9">
        <v>11.071456932324601</v>
      </c>
      <c r="E137" s="7">
        <v>13.414166847121379</v>
      </c>
    </row>
    <row r="138" spans="1:5" x14ac:dyDescent="0.25">
      <c r="A138" s="15">
        <v>42440</v>
      </c>
      <c r="B138" s="15">
        <v>42454</v>
      </c>
      <c r="C138" s="15">
        <v>42467</v>
      </c>
      <c r="D138" s="9">
        <v>11.071727540502007</v>
      </c>
      <c r="E138" s="7">
        <v>13.3965781331281</v>
      </c>
    </row>
    <row r="139" spans="1:5" x14ac:dyDescent="0.25">
      <c r="A139" s="15">
        <v>42454</v>
      </c>
      <c r="B139" s="15">
        <v>42468</v>
      </c>
      <c r="C139" s="15">
        <v>42481</v>
      </c>
      <c r="D139" s="9">
        <v>11.066928175993429</v>
      </c>
      <c r="E139" s="7">
        <v>13.415617488681256</v>
      </c>
    </row>
    <row r="140" spans="1:5" x14ac:dyDescent="0.25">
      <c r="A140" s="15">
        <v>42468</v>
      </c>
      <c r="B140" s="15">
        <v>42482</v>
      </c>
      <c r="C140" s="15">
        <v>42495</v>
      </c>
      <c r="D140" s="9">
        <v>11.057831548918037</v>
      </c>
      <c r="E140" s="7">
        <v>13.385525684966264</v>
      </c>
    </row>
    <row r="141" spans="1:5" x14ac:dyDescent="0.25">
      <c r="A141" s="15">
        <v>42482</v>
      </c>
      <c r="B141" s="15">
        <v>42496</v>
      </c>
      <c r="C141" s="15">
        <v>42509</v>
      </c>
      <c r="D141" s="9">
        <v>11.048089953468509</v>
      </c>
      <c r="E141" s="7">
        <v>13.40907120592483</v>
      </c>
    </row>
    <row r="142" spans="1:5" x14ac:dyDescent="0.25">
      <c r="A142" s="15">
        <v>42496</v>
      </c>
      <c r="B142" s="15">
        <v>42510</v>
      </c>
      <c r="C142" s="15">
        <v>42523</v>
      </c>
      <c r="D142" s="9">
        <v>11.063574052284979</v>
      </c>
      <c r="E142" s="7">
        <v>13.422385488899549</v>
      </c>
    </row>
    <row r="143" spans="1:5" x14ac:dyDescent="0.25">
      <c r="A143" s="15">
        <v>42510</v>
      </c>
      <c r="B143" s="15">
        <v>42524</v>
      </c>
      <c r="C143" s="15">
        <v>42537</v>
      </c>
      <c r="D143" s="9">
        <v>11.070264600152859</v>
      </c>
      <c r="E143" s="7">
        <v>13.54667041128674</v>
      </c>
    </row>
    <row r="144" spans="1:5" x14ac:dyDescent="0.25">
      <c r="A144" s="15">
        <v>42524</v>
      </c>
      <c r="B144" s="15">
        <v>42538</v>
      </c>
      <c r="C144" s="15">
        <v>42551</v>
      </c>
      <c r="D144" s="9">
        <v>11.07790480399489</v>
      </c>
      <c r="E144" s="7">
        <v>13.570053819157406</v>
      </c>
    </row>
    <row r="145" spans="1:5" x14ac:dyDescent="0.25">
      <c r="A145" s="15">
        <v>42538</v>
      </c>
      <c r="B145" s="15">
        <v>42552</v>
      </c>
      <c r="C145" s="15">
        <v>42565</v>
      </c>
      <c r="D145" s="9">
        <v>11.068</v>
      </c>
      <c r="E145" s="7">
        <v>13.574999999999999</v>
      </c>
    </row>
    <row r="146" spans="1:5" x14ac:dyDescent="0.25">
      <c r="A146" s="15">
        <v>42552</v>
      </c>
      <c r="B146" s="15">
        <v>42566</v>
      </c>
      <c r="C146" s="15">
        <v>42579</v>
      </c>
      <c r="D146" s="9">
        <v>11.064507306422303</v>
      </c>
      <c r="E146" s="7">
        <v>13.561606432694109</v>
      </c>
    </row>
    <row r="147" spans="1:5" x14ac:dyDescent="0.25">
      <c r="A147" s="15">
        <v>42566</v>
      </c>
      <c r="B147" s="15">
        <v>42580</v>
      </c>
      <c r="C147" s="15">
        <v>42593</v>
      </c>
      <c r="D147" s="9">
        <v>11.058231334299688</v>
      </c>
      <c r="E147" s="7">
        <v>13.570583087246321</v>
      </c>
    </row>
    <row r="148" spans="1:5" x14ac:dyDescent="0.25">
      <c r="A148" s="15">
        <v>42580</v>
      </c>
      <c r="B148" s="15">
        <v>42594</v>
      </c>
      <c r="C148" s="15">
        <v>42607</v>
      </c>
      <c r="D148" s="9">
        <v>11.069690344050219</v>
      </c>
      <c r="E148" s="7">
        <v>13.614967854875115</v>
      </c>
    </row>
    <row r="149" spans="1:5" x14ac:dyDescent="0.25">
      <c r="A149" s="15">
        <v>42594</v>
      </c>
      <c r="B149" s="15">
        <v>42608</v>
      </c>
      <c r="C149" s="15">
        <v>42621</v>
      </c>
      <c r="D149" s="9">
        <v>10.567636657742623</v>
      </c>
      <c r="E149" s="7">
        <v>13.610125074662621</v>
      </c>
    </row>
    <row r="150" spans="1:5" x14ac:dyDescent="0.25">
      <c r="A150" s="15">
        <v>42608</v>
      </c>
      <c r="B150" s="15">
        <v>42622</v>
      </c>
      <c r="C150" s="15">
        <v>42635</v>
      </c>
      <c r="D150" s="9">
        <v>10.546899054405445</v>
      </c>
      <c r="E150" s="7">
        <v>13.605884853950414</v>
      </c>
    </row>
    <row r="151" spans="1:5" x14ac:dyDescent="0.25">
      <c r="A151" s="15">
        <v>42622</v>
      </c>
      <c r="B151" s="15">
        <v>42636</v>
      </c>
      <c r="C151" s="15">
        <v>42649</v>
      </c>
      <c r="D151" s="9">
        <v>10.046392988668181</v>
      </c>
      <c r="E151" s="7">
        <v>13.615198233461298</v>
      </c>
    </row>
    <row r="152" spans="1:5" x14ac:dyDescent="0.25">
      <c r="A152" s="15">
        <v>42636</v>
      </c>
      <c r="B152" s="15">
        <v>42650</v>
      </c>
      <c r="C152" s="15">
        <v>42663</v>
      </c>
      <c r="D152" s="9">
        <v>10.051726030140623</v>
      </c>
      <c r="E152" s="7">
        <v>13.624941876647782</v>
      </c>
    </row>
    <row r="153" spans="1:5" x14ac:dyDescent="0.25">
      <c r="A153" s="15">
        <v>42650</v>
      </c>
      <c r="B153" s="15">
        <v>42664</v>
      </c>
      <c r="C153" s="15">
        <v>42677</v>
      </c>
      <c r="D153" s="9">
        <v>10.071933393456691</v>
      </c>
      <c r="E153" s="7">
        <v>13.594308039808842</v>
      </c>
    </row>
    <row r="154" spans="1:5" x14ac:dyDescent="0.25">
      <c r="A154" s="15">
        <v>42664</v>
      </c>
      <c r="B154" s="15">
        <v>42678</v>
      </c>
      <c r="C154" s="15">
        <v>42691</v>
      </c>
      <c r="D154" s="9">
        <v>10.073792064067657</v>
      </c>
      <c r="E154" s="7">
        <v>13.543973830780118</v>
      </c>
    </row>
    <row r="155" spans="1:5" x14ac:dyDescent="0.25">
      <c r="A155" s="15">
        <v>42678</v>
      </c>
      <c r="B155" s="15">
        <v>42692</v>
      </c>
      <c r="C155" s="15">
        <v>42705</v>
      </c>
      <c r="D155" s="9">
        <v>10.075653921179741</v>
      </c>
      <c r="E155" s="7">
        <v>13.579544931140674</v>
      </c>
    </row>
    <row r="156" spans="1:5" x14ac:dyDescent="0.25">
      <c r="A156" s="15">
        <v>42692</v>
      </c>
      <c r="B156" s="15">
        <v>42706</v>
      </c>
      <c r="C156" s="15">
        <v>42719</v>
      </c>
      <c r="D156" s="9">
        <v>10.078471816269923</v>
      </c>
      <c r="E156" s="7">
        <v>13.045076303417513</v>
      </c>
    </row>
    <row r="157" spans="1:5" x14ac:dyDescent="0.25">
      <c r="A157" s="15">
        <v>42706</v>
      </c>
      <c r="B157" s="15">
        <v>42720</v>
      </c>
      <c r="C157" s="15">
        <v>42733</v>
      </c>
      <c r="D157" s="9">
        <v>10.074233053442315</v>
      </c>
      <c r="E157" s="7">
        <v>13.024589608696685</v>
      </c>
    </row>
    <row r="158" spans="1:5" x14ac:dyDescent="0.25">
      <c r="A158" s="15">
        <v>42720</v>
      </c>
      <c r="B158" s="15">
        <v>42734</v>
      </c>
      <c r="C158" s="15">
        <v>42747</v>
      </c>
      <c r="D158" s="9">
        <v>10.071090993216437</v>
      </c>
      <c r="E158" s="7">
        <v>12.970656916083156</v>
      </c>
    </row>
    <row r="159" spans="1:5" x14ac:dyDescent="0.25">
      <c r="A159" s="15">
        <v>42734</v>
      </c>
      <c r="B159" s="15">
        <v>42748</v>
      </c>
      <c r="C159" s="15">
        <v>42761</v>
      </c>
      <c r="D159" s="9">
        <v>10.076786959636081</v>
      </c>
      <c r="E159" s="7">
        <v>12.43740120916425</v>
      </c>
    </row>
    <row r="160" spans="1:5" x14ac:dyDescent="0.25">
      <c r="A160" s="15">
        <v>42748</v>
      </c>
      <c r="B160" s="15">
        <v>42762</v>
      </c>
      <c r="C160" s="15">
        <v>42775</v>
      </c>
      <c r="D160" s="9">
        <v>10.083070448426524</v>
      </c>
      <c r="E160" s="7">
        <v>12.445417500890565</v>
      </c>
    </row>
    <row r="161" spans="1:5" x14ac:dyDescent="0.25">
      <c r="A161" s="15">
        <v>42762</v>
      </c>
      <c r="B161" s="15">
        <v>42776</v>
      </c>
      <c r="C161" s="15">
        <v>42789</v>
      </c>
      <c r="D161" s="9">
        <v>10.079871718754822</v>
      </c>
      <c r="E161" s="7">
        <v>12.444071289034204</v>
      </c>
    </row>
    <row r="162" spans="1:5" x14ac:dyDescent="0.25">
      <c r="A162" s="15">
        <v>42776</v>
      </c>
      <c r="B162" s="15">
        <v>42790</v>
      </c>
      <c r="C162" s="15">
        <v>42803</v>
      </c>
      <c r="D162" s="9">
        <v>10.063565873783494</v>
      </c>
      <c r="E162" s="7">
        <v>12.416675238130018</v>
      </c>
    </row>
    <row r="163" spans="1:5" x14ac:dyDescent="0.25">
      <c r="A163" s="15">
        <v>42790</v>
      </c>
      <c r="B163" s="15">
        <v>42804</v>
      </c>
      <c r="C163" s="15">
        <v>42817</v>
      </c>
      <c r="D163" s="9">
        <v>10.060616939293066</v>
      </c>
      <c r="E163" s="7">
        <v>12.410191936947204</v>
      </c>
    </row>
    <row r="164" spans="1:5" x14ac:dyDescent="0.25">
      <c r="A164" s="15">
        <v>42804</v>
      </c>
      <c r="B164" s="15">
        <v>42818</v>
      </c>
      <c r="C164" s="15">
        <v>42831</v>
      </c>
      <c r="D164" s="9">
        <v>10.068657950125464</v>
      </c>
      <c r="E164" s="7">
        <v>12.459953442861707</v>
      </c>
    </row>
    <row r="165" spans="1:5" x14ac:dyDescent="0.25">
      <c r="A165" s="15">
        <v>42818</v>
      </c>
      <c r="B165" s="15">
        <v>42832</v>
      </c>
      <c r="C165" s="15">
        <v>42845</v>
      </c>
      <c r="D165" s="9">
        <v>10.065510648752255</v>
      </c>
      <c r="E165" s="7">
        <v>12.434950366816054</v>
      </c>
    </row>
    <row r="166" spans="1:5" x14ac:dyDescent="0.25">
      <c r="A166" s="15">
        <v>42832</v>
      </c>
      <c r="B166" s="15">
        <v>42846</v>
      </c>
      <c r="C166" s="15">
        <v>42859</v>
      </c>
      <c r="D166" s="9">
        <v>10.0653404063723</v>
      </c>
      <c r="E166" s="7">
        <v>12.430916808668099</v>
      </c>
    </row>
    <row r="167" spans="1:5" x14ac:dyDescent="0.25">
      <c r="A167" s="15">
        <v>42846</v>
      </c>
      <c r="B167" s="15">
        <v>42860</v>
      </c>
      <c r="C167" s="15">
        <v>42876</v>
      </c>
      <c r="D167" s="9">
        <v>10.06099395608355</v>
      </c>
      <c r="E167" s="7">
        <v>12.441742525825347</v>
      </c>
    </row>
    <row r="168" spans="1:5" x14ac:dyDescent="0.25">
      <c r="A168" s="15">
        <v>42860</v>
      </c>
      <c r="B168" s="15">
        <v>42877</v>
      </c>
      <c r="C168" s="15">
        <v>42887</v>
      </c>
      <c r="D168" s="9">
        <v>10.046445428672824</v>
      </c>
      <c r="E168" s="7">
        <v>12.435497467203577</v>
      </c>
    </row>
    <row r="169" spans="1:5" x14ac:dyDescent="0.25">
      <c r="A169" s="15">
        <v>42873</v>
      </c>
      <c r="B169" s="15">
        <v>42888</v>
      </c>
      <c r="C169" s="15">
        <v>42901</v>
      </c>
      <c r="D169" s="9">
        <v>10.047414773876442</v>
      </c>
      <c r="E169" s="7">
        <v>12.378893521799752</v>
      </c>
    </row>
    <row r="170" spans="1:5" x14ac:dyDescent="0.25">
      <c r="A170" s="15">
        <v>42888</v>
      </c>
      <c r="B170" s="15">
        <v>42902</v>
      </c>
      <c r="C170" s="15">
        <v>42915</v>
      </c>
      <c r="D170" s="9">
        <v>10.036246474164471</v>
      </c>
      <c r="E170" s="7">
        <v>12.35918537877436</v>
      </c>
    </row>
    <row r="171" spans="1:5" x14ac:dyDescent="0.25">
      <c r="A171" s="15">
        <v>42902</v>
      </c>
      <c r="B171" s="15">
        <v>42916</v>
      </c>
      <c r="C171" s="15">
        <v>42929</v>
      </c>
      <c r="D171" s="9">
        <v>10.021715718123572</v>
      </c>
      <c r="E171" s="7">
        <v>12.410261820762019</v>
      </c>
    </row>
    <row r="172" spans="1:5" x14ac:dyDescent="0.25">
      <c r="A172" s="15">
        <v>42916</v>
      </c>
      <c r="B172" s="15">
        <v>42930</v>
      </c>
      <c r="C172" s="15">
        <v>42943</v>
      </c>
      <c r="D172" s="9">
        <v>10.019361939065522</v>
      </c>
      <c r="E172" s="7">
        <v>12.397293316556585</v>
      </c>
    </row>
    <row r="173" spans="1:5" x14ac:dyDescent="0.25">
      <c r="A173" s="15">
        <v>42930</v>
      </c>
      <c r="B173" s="15">
        <v>42944</v>
      </c>
      <c r="C173" s="15">
        <v>42957</v>
      </c>
      <c r="D173" s="9">
        <v>10.033344704637749</v>
      </c>
      <c r="E173" s="7">
        <v>12.396173823488684</v>
      </c>
    </row>
    <row r="174" spans="1:5" x14ac:dyDescent="0.25">
      <c r="A174" s="15">
        <v>42944</v>
      </c>
      <c r="B174" s="15">
        <v>42958</v>
      </c>
      <c r="C174" s="15">
        <v>42971</v>
      </c>
      <c r="D174" s="9">
        <v>10.022493535529591</v>
      </c>
      <c r="E174" s="7">
        <v>12.419718987209825</v>
      </c>
    </row>
    <row r="175" spans="1:5" x14ac:dyDescent="0.25">
      <c r="A175" s="15">
        <v>42958</v>
      </c>
      <c r="B175" s="15">
        <v>42972</v>
      </c>
      <c r="C175" s="15">
        <v>42985</v>
      </c>
      <c r="D175" s="9">
        <v>10.032197803894956</v>
      </c>
      <c r="E175" s="7">
        <v>12.455147946787788</v>
      </c>
    </row>
    <row r="176" spans="1:5" x14ac:dyDescent="0.25">
      <c r="A176" s="15">
        <v>42972</v>
      </c>
      <c r="B176" s="15">
        <v>42986</v>
      </c>
      <c r="C176" s="15">
        <v>42999</v>
      </c>
      <c r="D176" s="9">
        <v>10.032049202758779</v>
      </c>
      <c r="E176" s="7">
        <v>12.468791699767474</v>
      </c>
    </row>
    <row r="177" spans="1:5" x14ac:dyDescent="0.25">
      <c r="A177" s="15">
        <v>42986</v>
      </c>
      <c r="B177" s="15">
        <v>43000</v>
      </c>
      <c r="C177" s="15">
        <v>43013</v>
      </c>
      <c r="D177" s="9">
        <v>10.022525268606971</v>
      </c>
      <c r="E177" s="7">
        <v>12.515770401457846</v>
      </c>
    </row>
    <row r="178" spans="1:5" x14ac:dyDescent="0.25">
      <c r="A178" s="15">
        <v>43000</v>
      </c>
      <c r="B178" s="15">
        <v>43014</v>
      </c>
      <c r="C178" s="15">
        <v>43027</v>
      </c>
      <c r="D178" s="9">
        <v>10.031282858114352</v>
      </c>
      <c r="E178" s="7">
        <v>12.506021778772316</v>
      </c>
    </row>
    <row r="179" spans="1:5" x14ac:dyDescent="0.25">
      <c r="A179" s="15">
        <v>43014</v>
      </c>
      <c r="B179" s="15">
        <v>43028</v>
      </c>
      <c r="C179" s="15">
        <v>43041</v>
      </c>
      <c r="D179" s="9">
        <v>10.038305712054269</v>
      </c>
      <c r="E179" s="7">
        <v>12.488928375139633</v>
      </c>
    </row>
    <row r="180" spans="1:5" x14ac:dyDescent="0.25">
      <c r="A180" s="15">
        <v>43028</v>
      </c>
      <c r="B180" s="15">
        <v>43042</v>
      </c>
      <c r="C180" s="15">
        <v>43055</v>
      </c>
      <c r="D180" s="9">
        <v>10.027905594000051</v>
      </c>
      <c r="E180" s="7">
        <v>12.47453825866565</v>
      </c>
    </row>
    <row r="181" spans="1:5" x14ac:dyDescent="0.25">
      <c r="A181" s="15">
        <v>43042</v>
      </c>
      <c r="B181" s="15">
        <v>43056</v>
      </c>
      <c r="C181" s="15">
        <v>43069</v>
      </c>
      <c r="D181" s="9">
        <v>10.03539886509123</v>
      </c>
      <c r="E181" s="7">
        <v>12.498908005120809</v>
      </c>
    </row>
    <row r="182" spans="1:5" x14ac:dyDescent="0.25">
      <c r="A182" s="15">
        <v>43056</v>
      </c>
      <c r="B182" s="15">
        <v>43070</v>
      </c>
      <c r="C182" s="15">
        <v>43083</v>
      </c>
      <c r="D182" s="9">
        <v>10.040074436562493</v>
      </c>
      <c r="E182" s="7">
        <v>12.515809927445897</v>
      </c>
    </row>
    <row r="183" spans="1:5" x14ac:dyDescent="0.25">
      <c r="A183" s="15">
        <v>43070</v>
      </c>
      <c r="B183" s="15">
        <v>43084</v>
      </c>
      <c r="C183" s="15">
        <v>43097</v>
      </c>
      <c r="D183" s="9">
        <v>10.036001183005995</v>
      </c>
      <c r="E183" s="7">
        <v>12.491064231550318</v>
      </c>
    </row>
    <row r="184" spans="1:5" x14ac:dyDescent="0.25">
      <c r="A184" s="15">
        <v>43084</v>
      </c>
      <c r="B184" s="15">
        <v>43098</v>
      </c>
      <c r="C184" s="15">
        <v>43111</v>
      </c>
      <c r="D184" s="9">
        <v>10.03030269631337</v>
      </c>
      <c r="E184" s="7">
        <v>12.459783585624464</v>
      </c>
    </row>
    <row r="185" spans="1:5" x14ac:dyDescent="0.25">
      <c r="A185" s="15">
        <v>43098</v>
      </c>
      <c r="B185" s="15">
        <v>43112</v>
      </c>
      <c r="C185" s="15">
        <v>43125</v>
      </c>
      <c r="D185" s="9">
        <v>10.026560870837431</v>
      </c>
      <c r="E185" s="7">
        <v>12.365904959933827</v>
      </c>
    </row>
    <row r="186" spans="1:5" x14ac:dyDescent="0.25">
      <c r="A186" s="15">
        <v>43112</v>
      </c>
      <c r="B186" s="15">
        <v>43126</v>
      </c>
      <c r="C186" s="15">
        <v>43139</v>
      </c>
      <c r="D186" s="9">
        <v>10.034717804116424</v>
      </c>
      <c r="E186" s="7">
        <v>12.412394005332688</v>
      </c>
    </row>
    <row r="187" spans="1:5" x14ac:dyDescent="0.25">
      <c r="A187" s="15">
        <v>43126</v>
      </c>
      <c r="B187" s="15">
        <v>43140</v>
      </c>
      <c r="C187" s="15">
        <v>43153</v>
      </c>
      <c r="D187" s="9">
        <v>10.035994532164279</v>
      </c>
      <c r="E187" s="7">
        <v>12.408985652479259</v>
      </c>
    </row>
    <row r="188" spans="1:5" x14ac:dyDescent="0.25">
      <c r="A188" s="15">
        <v>43140</v>
      </c>
      <c r="B188" s="15">
        <v>43154</v>
      </c>
      <c r="C188" s="15">
        <v>43167</v>
      </c>
      <c r="D188" s="9">
        <v>10.0341308950642</v>
      </c>
      <c r="E188" s="7">
        <v>12.3949017330982</v>
      </c>
    </row>
    <row r="189" spans="1:5" x14ac:dyDescent="0.25">
      <c r="A189" s="15">
        <v>43154</v>
      </c>
      <c r="B189" s="15">
        <v>43168</v>
      </c>
      <c r="C189" s="15">
        <v>43181</v>
      </c>
      <c r="D189" s="9">
        <v>10.031211862429851</v>
      </c>
      <c r="E189" s="7">
        <v>12.387705780281227</v>
      </c>
    </row>
    <row r="190" spans="1:5" x14ac:dyDescent="0.25">
      <c r="A190" s="15">
        <v>43168</v>
      </c>
      <c r="B190" s="15">
        <v>43182</v>
      </c>
      <c r="C190" s="15">
        <v>43195</v>
      </c>
      <c r="D190" s="9">
        <v>10.030046782377401</v>
      </c>
      <c r="E190" s="7">
        <v>12.4246992328569</v>
      </c>
    </row>
    <row r="191" spans="1:5" x14ac:dyDescent="0.25">
      <c r="A191" s="15">
        <v>43182</v>
      </c>
      <c r="B191" s="15">
        <v>43196</v>
      </c>
      <c r="C191" s="15">
        <v>43209</v>
      </c>
      <c r="D191" s="9">
        <v>10.038868554628074</v>
      </c>
      <c r="E191" s="7">
        <v>12.416280199595366</v>
      </c>
    </row>
    <row r="192" spans="1:5" x14ac:dyDescent="0.25">
      <c r="A192" s="15">
        <v>43196</v>
      </c>
      <c r="B192" s="15">
        <v>43210</v>
      </c>
      <c r="C192" s="15">
        <v>43223</v>
      </c>
      <c r="D192" s="9">
        <v>10.037610003192187</v>
      </c>
      <c r="E192" s="7">
        <v>12.377249920991789</v>
      </c>
    </row>
    <row r="193" spans="1:5" x14ac:dyDescent="0.25">
      <c r="A193" s="15">
        <v>43210</v>
      </c>
      <c r="B193" s="15">
        <v>43224</v>
      </c>
      <c r="C193" s="15">
        <v>43237</v>
      </c>
      <c r="D193" s="9">
        <v>10.030455536002346</v>
      </c>
      <c r="E193" s="7">
        <v>12.42101334782145</v>
      </c>
    </row>
    <row r="194" spans="1:5" x14ac:dyDescent="0.25">
      <c r="A194" s="15">
        <v>43224</v>
      </c>
      <c r="B194" s="15">
        <v>43238</v>
      </c>
      <c r="C194" s="15">
        <v>43251</v>
      </c>
      <c r="D194" s="9">
        <v>10.030077269503526</v>
      </c>
      <c r="E194" s="7">
        <v>12.437720426411019</v>
      </c>
    </row>
    <row r="195" spans="1:5" x14ac:dyDescent="0.25">
      <c r="A195" s="15">
        <v>43238</v>
      </c>
      <c r="B195" s="15">
        <v>43252</v>
      </c>
      <c r="C195" s="15">
        <v>43268</v>
      </c>
      <c r="D195" s="9">
        <v>10.036567981191023</v>
      </c>
      <c r="E195" s="7">
        <v>12.439963512137348</v>
      </c>
    </row>
    <row r="196" spans="1:5" x14ac:dyDescent="0.25">
      <c r="A196" s="15">
        <v>43252</v>
      </c>
      <c r="B196" s="15">
        <v>43269</v>
      </c>
      <c r="C196" s="15">
        <v>43279</v>
      </c>
      <c r="D196" s="9">
        <v>10.029307743813931</v>
      </c>
      <c r="E196" s="7">
        <v>12.438166968144118</v>
      </c>
    </row>
    <row r="197" spans="1:5" x14ac:dyDescent="0.25">
      <c r="A197" s="15">
        <v>43265</v>
      </c>
      <c r="B197" s="15">
        <v>43280</v>
      </c>
      <c r="C197" s="15">
        <v>43293</v>
      </c>
      <c r="D197" s="9">
        <v>10.03546066949303</v>
      </c>
      <c r="E197" s="7">
        <v>12.422989087234676</v>
      </c>
    </row>
    <row r="198" spans="1:5" x14ac:dyDescent="0.25">
      <c r="A198" s="15">
        <v>43280</v>
      </c>
      <c r="B198" s="15">
        <v>43294</v>
      </c>
      <c r="C198" s="15">
        <v>43307</v>
      </c>
      <c r="D198" s="9">
        <v>10.032717179191394</v>
      </c>
      <c r="E198" s="7">
        <v>12.389105743107578</v>
      </c>
    </row>
    <row r="199" spans="1:5" x14ac:dyDescent="0.25">
      <c r="A199" s="15">
        <v>43294</v>
      </c>
      <c r="B199" s="15">
        <v>43308</v>
      </c>
      <c r="C199" s="15">
        <v>43321</v>
      </c>
      <c r="D199" s="9">
        <v>10.04977714840822</v>
      </c>
      <c r="E199" s="7">
        <v>12.429201213074595</v>
      </c>
    </row>
    <row r="200" spans="1:5" x14ac:dyDescent="0.25">
      <c r="A200" s="15">
        <v>43308</v>
      </c>
      <c r="B200" s="15">
        <v>43322</v>
      </c>
      <c r="C200" s="15">
        <v>43338</v>
      </c>
      <c r="D200" s="9">
        <v>7.5677781435292077</v>
      </c>
      <c r="E200" s="7">
        <v>11.567019068141057</v>
      </c>
    </row>
    <row r="201" spans="1:5" x14ac:dyDescent="0.25">
      <c r="A201" s="15">
        <v>43322</v>
      </c>
      <c r="B201" s="15">
        <v>43339</v>
      </c>
      <c r="C201" s="15">
        <v>43349</v>
      </c>
      <c r="D201" s="9">
        <v>7.5652164909532233</v>
      </c>
      <c r="E201" s="7">
        <v>11.546327468570174</v>
      </c>
    </row>
    <row r="202" spans="1:5" x14ac:dyDescent="0.25">
      <c r="A202" s="15">
        <v>43332</v>
      </c>
      <c r="B202" s="15">
        <v>43350</v>
      </c>
      <c r="C202" s="15">
        <v>43363</v>
      </c>
      <c r="D202" s="9">
        <v>7.5823220353364862</v>
      </c>
      <c r="E202" s="7">
        <v>11.521775631267566</v>
      </c>
    </row>
    <row r="203" spans="1:5" x14ac:dyDescent="0.25">
      <c r="A203" s="15">
        <v>43350</v>
      </c>
      <c r="B203" s="15">
        <v>43364</v>
      </c>
      <c r="C203" s="15">
        <v>43377</v>
      </c>
      <c r="D203" s="9">
        <v>7.5832014286028286</v>
      </c>
      <c r="E203" s="7">
        <v>11.426189935799085</v>
      </c>
    </row>
    <row r="204" spans="1:5" x14ac:dyDescent="0.25">
      <c r="A204" s="15">
        <v>43364</v>
      </c>
      <c r="B204" s="15">
        <v>43378</v>
      </c>
      <c r="C204" s="15">
        <v>43391</v>
      </c>
      <c r="D204" s="9">
        <v>7.5813942132536098</v>
      </c>
      <c r="E204" s="7">
        <v>11.40679179714108</v>
      </c>
    </row>
    <row r="205" spans="1:5" x14ac:dyDescent="0.25">
      <c r="A205" s="15">
        <v>43378</v>
      </c>
      <c r="B205" s="15">
        <v>43392</v>
      </c>
      <c r="C205" s="15">
        <v>43405</v>
      </c>
      <c r="D205" s="9">
        <v>7.5844628533225027</v>
      </c>
      <c r="E205" s="7">
        <v>11.334556143058803</v>
      </c>
    </row>
    <row r="206" spans="1:5" x14ac:dyDescent="0.25">
      <c r="A206" s="15">
        <v>43392</v>
      </c>
      <c r="B206" s="15">
        <v>43406</v>
      </c>
      <c r="C206" s="15">
        <v>43419</v>
      </c>
      <c r="D206" s="9">
        <v>7.5736175533168621</v>
      </c>
      <c r="E206" s="7">
        <v>11.323888963882862</v>
      </c>
    </row>
    <row r="207" spans="1:5" x14ac:dyDescent="0.25">
      <c r="A207" s="15">
        <v>43406</v>
      </c>
      <c r="B207" s="15">
        <v>43420</v>
      </c>
      <c r="C207" s="15">
        <v>43433</v>
      </c>
      <c r="D207" s="9">
        <v>7.5415448409859582</v>
      </c>
      <c r="E207" s="7">
        <v>11.341347902481811</v>
      </c>
    </row>
    <row r="208" spans="1:5" x14ac:dyDescent="0.25">
      <c r="A208" s="15">
        <v>43420</v>
      </c>
      <c r="B208" s="15">
        <v>43434</v>
      </c>
      <c r="C208" s="15">
        <v>43447</v>
      </c>
      <c r="D208" s="9">
        <v>7.4998892081602442</v>
      </c>
      <c r="E208" s="7">
        <v>11.307444911884369</v>
      </c>
    </row>
    <row r="209" spans="1:5" x14ac:dyDescent="0.25">
      <c r="A209" s="15">
        <v>43434</v>
      </c>
      <c r="B209" s="15">
        <v>43448</v>
      </c>
      <c r="C209" s="15">
        <v>43461</v>
      </c>
      <c r="D209" s="9">
        <v>7.3754067263732264</v>
      </c>
      <c r="E209" s="7">
        <v>11.309646646034386</v>
      </c>
    </row>
    <row r="210" spans="1:5" x14ac:dyDescent="0.25">
      <c r="A210" s="15">
        <v>43448</v>
      </c>
      <c r="B210" s="15">
        <v>43462</v>
      </c>
      <c r="C210" s="15">
        <v>43475</v>
      </c>
      <c r="D210" s="9">
        <v>7.3657060315077665</v>
      </c>
      <c r="E210" s="7">
        <v>11.288003550202117</v>
      </c>
    </row>
    <row r="211" spans="1:5" x14ac:dyDescent="0.25">
      <c r="A211" s="15">
        <v>43462</v>
      </c>
      <c r="B211" s="15">
        <v>43476</v>
      </c>
      <c r="C211" s="15">
        <v>43489</v>
      </c>
      <c r="D211" s="9">
        <v>7.3635545718617195</v>
      </c>
      <c r="E211" s="7">
        <v>11.299721093785392</v>
      </c>
    </row>
    <row r="212" spans="1:5" x14ac:dyDescent="0.25">
      <c r="A212" s="15">
        <v>43476</v>
      </c>
      <c r="B212" s="15">
        <v>43490</v>
      </c>
      <c r="C212" s="15">
        <v>43503</v>
      </c>
      <c r="D212" s="9">
        <v>7.3640044059412917</v>
      </c>
      <c r="E212" s="7">
        <v>11.205421143180049</v>
      </c>
    </row>
    <row r="213" spans="1:5" x14ac:dyDescent="0.25">
      <c r="A213" s="15">
        <v>43490</v>
      </c>
      <c r="B213" s="15">
        <v>43504</v>
      </c>
      <c r="C213" s="15">
        <v>43517</v>
      </c>
      <c r="D213" s="9">
        <v>7.3664397443506866</v>
      </c>
      <c r="E213" s="7">
        <v>11.208224616304019</v>
      </c>
    </row>
    <row r="214" spans="1:5" x14ac:dyDescent="0.25">
      <c r="A214" s="15">
        <v>43504</v>
      </c>
      <c r="B214" s="15">
        <v>43518</v>
      </c>
      <c r="C214" s="15">
        <v>43531</v>
      </c>
      <c r="D214" s="9">
        <v>6.3818116277547796</v>
      </c>
      <c r="E214" s="7">
        <v>11.210002486747312</v>
      </c>
    </row>
    <row r="215" spans="1:5" x14ac:dyDescent="0.25">
      <c r="A215" s="15">
        <v>43518</v>
      </c>
      <c r="B215" s="15">
        <v>43532</v>
      </c>
      <c r="C215" s="15">
        <v>43545</v>
      </c>
      <c r="D215" s="9">
        <v>6.4141387683793711</v>
      </c>
      <c r="E215" s="7">
        <v>11.213539828007487</v>
      </c>
    </row>
    <row r="216" spans="1:5" x14ac:dyDescent="0.25">
      <c r="A216" s="15">
        <v>43532</v>
      </c>
      <c r="B216" s="15">
        <v>43546</v>
      </c>
      <c r="C216" s="15">
        <v>43559</v>
      </c>
      <c r="D216" s="9">
        <v>6.4560452298740802</v>
      </c>
      <c r="E216" s="7">
        <v>11.163531649201444</v>
      </c>
    </row>
    <row r="217" spans="1:5" x14ac:dyDescent="0.25">
      <c r="A217" s="15">
        <v>43546</v>
      </c>
      <c r="B217" s="15">
        <v>43560</v>
      </c>
      <c r="C217" s="15">
        <v>43573</v>
      </c>
      <c r="D217" s="9">
        <v>6.4631302533842891</v>
      </c>
      <c r="E217" s="9">
        <v>11.161842971973801</v>
      </c>
    </row>
    <row r="218" spans="1:5" x14ac:dyDescent="0.25">
      <c r="A218" s="15">
        <v>43560</v>
      </c>
      <c r="B218" s="15">
        <v>43574</v>
      </c>
      <c r="C218" s="15">
        <v>43587</v>
      </c>
      <c r="D218" s="9">
        <v>6.4778260418341267</v>
      </c>
      <c r="E218" s="9">
        <v>11.148891634686318</v>
      </c>
    </row>
    <row r="219" spans="1:5" x14ac:dyDescent="0.25">
      <c r="A219" s="15">
        <v>43574</v>
      </c>
      <c r="B219" s="15">
        <v>43588</v>
      </c>
      <c r="C219" s="15">
        <v>43601</v>
      </c>
      <c r="D219" s="9">
        <v>6.4994140278129091</v>
      </c>
      <c r="E219" s="9">
        <v>11.1713658063297</v>
      </c>
    </row>
    <row r="220" spans="1:5" x14ac:dyDescent="0.25">
      <c r="A220" s="15">
        <v>43588</v>
      </c>
      <c r="B220" s="15">
        <v>43602</v>
      </c>
      <c r="C220" s="15">
        <v>43615</v>
      </c>
      <c r="D220" s="9">
        <v>6.5122385101700768</v>
      </c>
      <c r="E220" s="9">
        <v>12.196066166791322</v>
      </c>
    </row>
    <row r="221" spans="1:5" x14ac:dyDescent="0.25">
      <c r="A221" s="15">
        <v>43602</v>
      </c>
      <c r="B221" s="15">
        <v>43616</v>
      </c>
      <c r="C221" s="15">
        <v>43629</v>
      </c>
      <c r="D221" s="9">
        <v>6.5</v>
      </c>
      <c r="E221" s="9">
        <v>13.552632393517289</v>
      </c>
    </row>
    <row r="222" spans="1:5" x14ac:dyDescent="0.25">
      <c r="A222" s="15">
        <v>43616</v>
      </c>
      <c r="B222" s="15">
        <v>43630</v>
      </c>
      <c r="C222" s="15">
        <v>43643</v>
      </c>
      <c r="D222" s="9">
        <v>6.5053462386551981</v>
      </c>
      <c r="E222" s="9">
        <v>13.545654221169826</v>
      </c>
    </row>
    <row r="223" spans="1:5" x14ac:dyDescent="0.25">
      <c r="A223" s="15">
        <v>43630</v>
      </c>
      <c r="B223" s="15">
        <v>43644</v>
      </c>
      <c r="C223" s="15">
        <v>43657</v>
      </c>
      <c r="D223" s="9">
        <v>6.4610925998907049</v>
      </c>
      <c r="E223" s="9">
        <v>13.51770828676252</v>
      </c>
    </row>
    <row r="224" spans="1:5" x14ac:dyDescent="0.25">
      <c r="A224" s="15">
        <v>43644</v>
      </c>
      <c r="B224" s="15">
        <v>43658</v>
      </c>
      <c r="C224" s="15">
        <v>43671</v>
      </c>
      <c r="D224" s="9">
        <v>6.4286180962638513</v>
      </c>
      <c r="E224" s="9">
        <v>13.559731602381705</v>
      </c>
    </row>
    <row r="225" spans="1:5" x14ac:dyDescent="0.25">
      <c r="A225" s="15">
        <v>43658</v>
      </c>
      <c r="B225" s="15">
        <v>43672</v>
      </c>
      <c r="C225" s="15">
        <v>43685</v>
      </c>
      <c r="D225" s="9">
        <v>6.4189313987639824</v>
      </c>
      <c r="E225" s="9">
        <v>13.62456787292027</v>
      </c>
    </row>
    <row r="226" spans="1:5" x14ac:dyDescent="0.25">
      <c r="A226" s="15">
        <v>43672</v>
      </c>
      <c r="B226" s="15">
        <v>43686</v>
      </c>
      <c r="C226" s="15">
        <v>43699</v>
      </c>
      <c r="D226" s="9">
        <v>6.4096938519848825</v>
      </c>
      <c r="E226" s="9">
        <v>14.340399665991111</v>
      </c>
    </row>
    <row r="227" spans="1:5" x14ac:dyDescent="0.25">
      <c r="A227" s="15">
        <v>43686</v>
      </c>
      <c r="B227" s="15">
        <v>43700</v>
      </c>
      <c r="C227" s="15">
        <v>43713</v>
      </c>
      <c r="D227" s="9">
        <v>4.9199481820412965</v>
      </c>
      <c r="E227" s="9">
        <v>14.341320141626953</v>
      </c>
    </row>
    <row r="228" spans="1:5" x14ac:dyDescent="0.25">
      <c r="A228" s="15">
        <v>43700</v>
      </c>
      <c r="B228" s="15">
        <v>43714</v>
      </c>
      <c r="C228" s="15">
        <v>43727</v>
      </c>
      <c r="D228" s="9">
        <v>4.8792197833973168</v>
      </c>
      <c r="E228" s="9">
        <v>14.307853579519739</v>
      </c>
    </row>
    <row r="229" spans="1:5" x14ac:dyDescent="0.25">
      <c r="A229" s="15">
        <v>43714</v>
      </c>
      <c r="B229" s="15">
        <v>43728</v>
      </c>
      <c r="C229" s="15">
        <v>43741</v>
      </c>
      <c r="D229" s="9">
        <v>4.8775754989140347</v>
      </c>
      <c r="E229" s="9">
        <v>14.327522210207583</v>
      </c>
    </row>
    <row r="230" spans="1:5" x14ac:dyDescent="0.25">
      <c r="A230" s="15">
        <v>43728</v>
      </c>
      <c r="B230" s="15">
        <v>43742</v>
      </c>
      <c r="C230" s="15">
        <v>43755</v>
      </c>
      <c r="D230" s="9">
        <v>4.8455656255207895</v>
      </c>
      <c r="E230" s="9">
        <v>15.05796880489925</v>
      </c>
    </row>
    <row r="231" spans="1:5" x14ac:dyDescent="0.25">
      <c r="A231" s="15">
        <v>43742</v>
      </c>
      <c r="B231" s="15">
        <v>43756</v>
      </c>
      <c r="C231" s="15">
        <v>43769</v>
      </c>
      <c r="D231" s="9">
        <v>4.8251682249271912</v>
      </c>
      <c r="E231" s="9">
        <v>15.075017995503337</v>
      </c>
    </row>
    <row r="232" spans="1:5" x14ac:dyDescent="0.25">
      <c r="A232" s="15">
        <v>43756</v>
      </c>
      <c r="B232" s="15">
        <v>43770</v>
      </c>
      <c r="C232" s="15">
        <v>43783</v>
      </c>
      <c r="D232" s="9">
        <v>4.4787415466403937</v>
      </c>
      <c r="E232" s="9">
        <v>15.086172428606584</v>
      </c>
    </row>
    <row r="233" spans="1:5" x14ac:dyDescent="0.25">
      <c r="A233" s="15">
        <v>43770</v>
      </c>
      <c r="B233" s="15">
        <v>43784</v>
      </c>
      <c r="C233" s="15">
        <v>43797</v>
      </c>
      <c r="D233" s="9">
        <v>4.4613584103359472</v>
      </c>
      <c r="E233" s="9">
        <v>15.094912015058698</v>
      </c>
    </row>
    <row r="234" spans="1:5" x14ac:dyDescent="0.25">
      <c r="A234" s="15">
        <v>43784</v>
      </c>
      <c r="B234" s="15">
        <v>43798</v>
      </c>
      <c r="C234" s="15">
        <v>43811</v>
      </c>
      <c r="D234" s="9">
        <v>4.0995183209826482</v>
      </c>
      <c r="E234" s="9">
        <v>15.104619900158516</v>
      </c>
    </row>
    <row r="235" spans="1:5" x14ac:dyDescent="0.25">
      <c r="A235" s="15">
        <v>43798</v>
      </c>
      <c r="B235" s="15">
        <v>43812</v>
      </c>
      <c r="C235" s="15">
        <v>43825</v>
      </c>
      <c r="D235" s="9">
        <v>3.5070727349019735</v>
      </c>
      <c r="E235" s="9">
        <v>15.075045994274669</v>
      </c>
    </row>
    <row r="236" spans="1:5" x14ac:dyDescent="0.25">
      <c r="A236" s="15">
        <v>43812</v>
      </c>
      <c r="B236" s="15">
        <v>43826</v>
      </c>
      <c r="C236" s="15">
        <v>43839</v>
      </c>
      <c r="D236" s="9">
        <v>3.6484223542460184</v>
      </c>
      <c r="E236" s="9">
        <v>15.059336162402406</v>
      </c>
    </row>
    <row r="237" spans="1:5" x14ac:dyDescent="0.25">
      <c r="A237" s="15">
        <v>43826</v>
      </c>
      <c r="B237" s="15">
        <v>43840</v>
      </c>
      <c r="C237" s="15">
        <v>43853</v>
      </c>
      <c r="D237" s="9">
        <v>3.6471250293247457</v>
      </c>
      <c r="E237" s="9">
        <v>16.021017975766156</v>
      </c>
    </row>
    <row r="238" spans="1:5" x14ac:dyDescent="0.25">
      <c r="A238" s="15">
        <v>43840</v>
      </c>
      <c r="B238" s="15">
        <v>43854</v>
      </c>
      <c r="C238" s="15">
        <v>43867</v>
      </c>
      <c r="D238" s="9">
        <v>3.7846567394112802</v>
      </c>
      <c r="E238" s="9">
        <v>16.014674622782394</v>
      </c>
    </row>
    <row r="239" spans="1:5" x14ac:dyDescent="0.25">
      <c r="A239" s="15">
        <v>43854</v>
      </c>
      <c r="B239" s="15">
        <v>43868</v>
      </c>
      <c r="C239" s="15">
        <v>43881</v>
      </c>
      <c r="D239" s="9">
        <v>3.8015656506726851</v>
      </c>
      <c r="E239" s="9">
        <v>16.011877207670715</v>
      </c>
    </row>
    <row r="240" spans="1:5" x14ac:dyDescent="0.25">
      <c r="A240" s="15">
        <v>43868</v>
      </c>
      <c r="B240" s="15">
        <v>43882</v>
      </c>
      <c r="C240" s="15">
        <v>43895</v>
      </c>
      <c r="D240" s="9">
        <v>4.1799975852167099</v>
      </c>
      <c r="E240" s="9">
        <v>16.023683260283715</v>
      </c>
    </row>
    <row r="241" spans="1:5" x14ac:dyDescent="0.25">
      <c r="A241" s="15">
        <v>43882</v>
      </c>
      <c r="B241" s="15">
        <v>43896</v>
      </c>
      <c r="C241" s="15">
        <v>43909</v>
      </c>
      <c r="D241" s="9">
        <v>4.7411861109128486</v>
      </c>
      <c r="E241" s="9">
        <v>16.017397968459882</v>
      </c>
    </row>
    <row r="242" spans="1:5" x14ac:dyDescent="0.25">
      <c r="A242" s="15">
        <v>43896</v>
      </c>
      <c r="B242" s="15">
        <v>43910</v>
      </c>
      <c r="C242" s="15">
        <v>43923</v>
      </c>
      <c r="D242" s="9">
        <v>4.6409981255307917</v>
      </c>
      <c r="E242" s="9">
        <v>14.135330500677007</v>
      </c>
    </row>
    <row r="243" spans="1:5" x14ac:dyDescent="0.25">
      <c r="A243" s="15">
        <v>43910</v>
      </c>
      <c r="B243" s="15">
        <v>43924</v>
      </c>
      <c r="C243" s="15">
        <v>43937</v>
      </c>
      <c r="D243" s="9">
        <v>4.6479532906634544</v>
      </c>
      <c r="E243" s="9">
        <v>14.15014676456712</v>
      </c>
    </row>
    <row r="244" spans="1:5" x14ac:dyDescent="0.25">
      <c r="A244" s="15">
        <v>43924</v>
      </c>
      <c r="B244" s="15">
        <v>43938</v>
      </c>
      <c r="C244" s="15">
        <v>43954</v>
      </c>
      <c r="D244" s="9">
        <v>4.2903947212448514</v>
      </c>
      <c r="E244" s="9">
        <v>13.659816971607301</v>
      </c>
    </row>
    <row r="245" spans="1:5" x14ac:dyDescent="0.25">
      <c r="A245" s="15">
        <v>43938</v>
      </c>
      <c r="B245" s="15">
        <v>43955</v>
      </c>
      <c r="C245" s="15">
        <v>43965</v>
      </c>
      <c r="D245" s="9">
        <v>4.2426144899836302</v>
      </c>
      <c r="E245" s="9">
        <v>13.691148870494199</v>
      </c>
    </row>
    <row r="246" spans="1:5" x14ac:dyDescent="0.25">
      <c r="A246" s="15">
        <v>43951</v>
      </c>
      <c r="B246" s="15">
        <v>43966</v>
      </c>
      <c r="C246" s="15">
        <v>43979</v>
      </c>
      <c r="D246" s="9">
        <v>3.7247263590008663</v>
      </c>
      <c r="E246" s="9">
        <v>12.839928352292615</v>
      </c>
    </row>
    <row r="247" spans="1:5" x14ac:dyDescent="0.25">
      <c r="A247" s="15">
        <v>43966</v>
      </c>
      <c r="B247" s="15">
        <v>43980</v>
      </c>
      <c r="C247" s="15">
        <v>43993</v>
      </c>
      <c r="D247" s="9">
        <v>3.6724529691334142</v>
      </c>
      <c r="E247" s="9">
        <v>12.781813299216388</v>
      </c>
    </row>
    <row r="248" spans="1:5" x14ac:dyDescent="0.25">
      <c r="A248" s="15">
        <v>43980</v>
      </c>
      <c r="B248" s="15">
        <v>43994</v>
      </c>
      <c r="C248" s="15">
        <v>44007</v>
      </c>
      <c r="D248" s="9">
        <v>3.7706734646483637</v>
      </c>
      <c r="E248" s="9">
        <v>12.84184944527812</v>
      </c>
    </row>
    <row r="249" spans="1:5" x14ac:dyDescent="0.25">
      <c r="A249" s="15">
        <v>43994</v>
      </c>
      <c r="B249" s="15">
        <v>44008</v>
      </c>
      <c r="C249" s="15">
        <v>44021</v>
      </c>
      <c r="D249" s="9">
        <v>3.621872482441777</v>
      </c>
      <c r="E249" s="9">
        <v>12.671108260130758</v>
      </c>
    </row>
    <row r="250" spans="1:5" x14ac:dyDescent="0.25">
      <c r="A250" s="15">
        <v>44008</v>
      </c>
      <c r="B250" s="15">
        <v>44022</v>
      </c>
      <c r="C250" s="15">
        <v>44035</v>
      </c>
      <c r="D250" s="9">
        <v>3.1648746054918782</v>
      </c>
      <c r="E250" s="9">
        <v>12.058444429909406</v>
      </c>
    </row>
    <row r="251" spans="1:5" x14ac:dyDescent="0.25">
      <c r="A251" s="15">
        <v>44022</v>
      </c>
      <c r="B251" s="15">
        <v>44036</v>
      </c>
      <c r="C251" s="15">
        <v>44049</v>
      </c>
      <c r="D251" s="9">
        <v>3.1461491925509191</v>
      </c>
      <c r="E251" s="9">
        <v>15.054456547581877</v>
      </c>
    </row>
    <row r="252" spans="1:5" x14ac:dyDescent="0.25">
      <c r="A252" s="15">
        <v>44036</v>
      </c>
      <c r="B252" s="15">
        <v>44050</v>
      </c>
      <c r="C252" s="15">
        <v>44063</v>
      </c>
      <c r="D252" s="9">
        <v>2.7403980069875473</v>
      </c>
      <c r="E252" s="9">
        <v>14.515350178928299</v>
      </c>
    </row>
    <row r="253" spans="1:5" x14ac:dyDescent="0.25">
      <c r="A253" s="15">
        <v>44050</v>
      </c>
      <c r="B253" s="15">
        <v>44064</v>
      </c>
      <c r="C253" s="15">
        <v>44077</v>
      </c>
      <c r="D253" s="9">
        <v>2.5628417120435554</v>
      </c>
      <c r="E253" s="9">
        <v>14.333205772257976</v>
      </c>
    </row>
    <row r="254" spans="1:5" x14ac:dyDescent="0.25">
      <c r="A254" s="15">
        <v>44064</v>
      </c>
      <c r="B254" s="15">
        <v>44078</v>
      </c>
      <c r="C254" s="15">
        <v>44091</v>
      </c>
      <c r="D254" s="9">
        <v>4.2120120142734985</v>
      </c>
      <c r="E254" s="9">
        <v>16.440856762671235</v>
      </c>
    </row>
    <row r="255" spans="1:5" x14ac:dyDescent="0.25">
      <c r="A255" s="15">
        <v>44078</v>
      </c>
      <c r="B255" s="15">
        <v>44092</v>
      </c>
      <c r="C255" s="15">
        <v>44105</v>
      </c>
      <c r="D255" s="9">
        <v>4.2144790888514212</v>
      </c>
      <c r="E255" s="9">
        <v>16.430061525860896</v>
      </c>
    </row>
    <row r="256" spans="1:5" x14ac:dyDescent="0.25">
      <c r="A256" s="15">
        <v>44092</v>
      </c>
      <c r="B256" s="15">
        <v>44106</v>
      </c>
      <c r="C256" s="15">
        <v>44119</v>
      </c>
      <c r="D256" s="9">
        <v>4.2241036537925778</v>
      </c>
      <c r="E256" s="9">
        <v>16.431794024657119</v>
      </c>
    </row>
    <row r="257" spans="1:5" x14ac:dyDescent="0.25">
      <c r="A257" s="15">
        <v>44106</v>
      </c>
      <c r="B257" s="15">
        <v>44120</v>
      </c>
      <c r="C257" s="15">
        <v>44133</v>
      </c>
      <c r="D257" s="9">
        <v>4.0164444581855427</v>
      </c>
      <c r="E257" s="9">
        <v>16.078933279648268</v>
      </c>
    </row>
    <row r="258" spans="1:5" x14ac:dyDescent="0.25">
      <c r="A258" s="15">
        <v>44120</v>
      </c>
      <c r="B258" s="15">
        <v>44134</v>
      </c>
      <c r="C258" s="15">
        <v>44147</v>
      </c>
      <c r="D258" s="9">
        <v>3.9822434522142167</v>
      </c>
      <c r="E258" s="9">
        <v>16.027556189117824</v>
      </c>
    </row>
    <row r="259" spans="1:5" x14ac:dyDescent="0.25">
      <c r="A259" s="15">
        <v>44134</v>
      </c>
      <c r="B259" s="15">
        <v>44148</v>
      </c>
      <c r="C259" s="15">
        <v>44161</v>
      </c>
      <c r="D259" s="9">
        <v>3.9777822452296414</v>
      </c>
      <c r="E259" s="9">
        <v>16.055343148773431</v>
      </c>
    </row>
    <row r="260" spans="1:5" x14ac:dyDescent="0.25">
      <c r="A260" s="15">
        <v>44148</v>
      </c>
      <c r="B260" s="15">
        <v>44162</v>
      </c>
      <c r="C260" s="15">
        <v>44175</v>
      </c>
      <c r="D260" s="9">
        <v>3.9396040192577511</v>
      </c>
      <c r="E260" s="9">
        <v>16.058076411535712</v>
      </c>
    </row>
    <row r="261" spans="1:5" x14ac:dyDescent="0.25">
      <c r="A261" s="15">
        <v>44162</v>
      </c>
      <c r="B261" s="15">
        <v>44176</v>
      </c>
      <c r="C261" s="15">
        <v>44189</v>
      </c>
      <c r="D261" s="9">
        <v>3.9284183812320674</v>
      </c>
      <c r="E261" s="9">
        <v>16.068467519897357</v>
      </c>
    </row>
    <row r="262" spans="1:5" x14ac:dyDescent="0.25">
      <c r="A262" s="15">
        <v>44176</v>
      </c>
      <c r="B262" s="15">
        <v>44190</v>
      </c>
      <c r="C262" s="15">
        <v>44203</v>
      </c>
      <c r="D262" s="9">
        <v>5.7298933981728029</v>
      </c>
      <c r="E262" s="9">
        <v>17.161023641271093</v>
      </c>
    </row>
    <row r="263" spans="1:5" x14ac:dyDescent="0.25">
      <c r="A263" s="15">
        <v>44190</v>
      </c>
      <c r="B263" s="15">
        <v>44204</v>
      </c>
      <c r="C263" s="15">
        <v>44217</v>
      </c>
      <c r="D263" s="9">
        <v>5.7493853229661731</v>
      </c>
      <c r="E263" s="9">
        <v>17.233950623302999</v>
      </c>
    </row>
    <row r="264" spans="1:5" x14ac:dyDescent="0.25">
      <c r="A264" s="15">
        <v>44204</v>
      </c>
      <c r="B264" s="15">
        <v>44218</v>
      </c>
      <c r="C264" s="15">
        <v>44231</v>
      </c>
      <c r="D264" s="9">
        <v>5.7319036058226471</v>
      </c>
      <c r="E264" s="9">
        <v>17.253212067975706</v>
      </c>
    </row>
    <row r="265" spans="1:5" x14ac:dyDescent="0.25">
      <c r="A265" s="15">
        <v>44218</v>
      </c>
      <c r="B265" s="15">
        <v>44232</v>
      </c>
      <c r="C265" s="15">
        <v>44245</v>
      </c>
      <c r="D265" s="9">
        <v>5.7270818245603845</v>
      </c>
      <c r="E265" s="9">
        <v>17.245755646246078</v>
      </c>
    </row>
    <row r="266" spans="1:5" x14ac:dyDescent="0.25">
      <c r="A266" s="15">
        <v>44232</v>
      </c>
      <c r="B266" s="15">
        <v>44246</v>
      </c>
      <c r="C266" s="15">
        <v>44259</v>
      </c>
      <c r="D266" s="9">
        <v>5.7172997624271655</v>
      </c>
      <c r="E266" s="9">
        <v>17.195650459216662</v>
      </c>
    </row>
    <row r="267" spans="1:5" x14ac:dyDescent="0.25">
      <c r="A267" s="15">
        <v>44246</v>
      </c>
      <c r="B267" s="15">
        <v>44260</v>
      </c>
      <c r="C267" s="15">
        <v>44273</v>
      </c>
      <c r="D267" s="9">
        <v>7.697271860863089</v>
      </c>
      <c r="E267" s="9">
        <v>17.220464335466769</v>
      </c>
    </row>
    <row r="268" spans="1:5" x14ac:dyDescent="0.25">
      <c r="A268" s="15">
        <v>44260</v>
      </c>
      <c r="B268" s="15">
        <v>44274</v>
      </c>
      <c r="C268" s="15">
        <v>44287</v>
      </c>
      <c r="D268" s="9">
        <v>7.6931520114706577</v>
      </c>
      <c r="E268" s="9">
        <v>17.193890869523251</v>
      </c>
    </row>
    <row r="269" spans="1:5" x14ac:dyDescent="0.25">
      <c r="A269" s="15">
        <v>44274</v>
      </c>
      <c r="B269" s="15">
        <v>44288</v>
      </c>
      <c r="C269" s="15">
        <v>44301</v>
      </c>
      <c r="D269" s="9">
        <v>7.6832413002461131</v>
      </c>
      <c r="E269" s="9">
        <v>17.219327869009344</v>
      </c>
    </row>
    <row r="270" spans="1:5" x14ac:dyDescent="0.25">
      <c r="A270" s="15">
        <v>44288</v>
      </c>
      <c r="B270" s="15">
        <v>44302</v>
      </c>
      <c r="C270" s="15">
        <v>44315</v>
      </c>
      <c r="D270" s="9">
        <v>7.6325997035832742</v>
      </c>
      <c r="E270" s="9">
        <v>17.085695084978976</v>
      </c>
    </row>
    <row r="271" spans="1:5" x14ac:dyDescent="0.25">
      <c r="A271" s="15">
        <v>44302</v>
      </c>
      <c r="B271" s="15">
        <v>44316</v>
      </c>
      <c r="C271" s="15">
        <v>44332</v>
      </c>
      <c r="D271" s="9">
        <v>7.6379021564770344</v>
      </c>
      <c r="E271" s="9">
        <v>17.119802642452843</v>
      </c>
    </row>
    <row r="272" spans="1:5" x14ac:dyDescent="0.25">
      <c r="A272" s="15">
        <v>44316</v>
      </c>
      <c r="B272" s="15">
        <v>44333</v>
      </c>
      <c r="C272" s="15">
        <v>44343</v>
      </c>
      <c r="D272" s="9">
        <v>7.6318791433932986</v>
      </c>
      <c r="E272" s="9">
        <v>17.152124235487534</v>
      </c>
    </row>
    <row r="273" spans="1:5" x14ac:dyDescent="0.25">
      <c r="A273" s="15">
        <v>44328</v>
      </c>
      <c r="B273" s="15">
        <v>44344</v>
      </c>
      <c r="C273" s="15">
        <v>44357</v>
      </c>
      <c r="D273" s="9">
        <v>7.6375783539818372</v>
      </c>
      <c r="E273" s="9">
        <v>17.186868932798266</v>
      </c>
    </row>
    <row r="274" spans="1:5" x14ac:dyDescent="0.25">
      <c r="A274" s="15">
        <v>44344</v>
      </c>
      <c r="B274" s="15">
        <v>44358</v>
      </c>
      <c r="C274" s="15">
        <v>44371</v>
      </c>
      <c r="D274" s="9">
        <v>7.6358557937237777</v>
      </c>
      <c r="E274" s="9">
        <v>17.21293531239003</v>
      </c>
    </row>
    <row r="275" spans="1:5" x14ac:dyDescent="0.25">
      <c r="A275" s="15">
        <v>44358</v>
      </c>
      <c r="B275" s="15">
        <v>44372</v>
      </c>
      <c r="C275" s="15">
        <v>44385</v>
      </c>
      <c r="D275" s="9">
        <v>7.6366354505106244</v>
      </c>
      <c r="E275" s="9">
        <v>17.199704718645688</v>
      </c>
    </row>
    <row r="276" spans="1:5" x14ac:dyDescent="0.25">
      <c r="A276" s="15">
        <v>44372</v>
      </c>
      <c r="B276" s="15">
        <v>44386</v>
      </c>
      <c r="C276" s="15">
        <v>44402</v>
      </c>
      <c r="D276" s="9">
        <v>7.6595515694505014</v>
      </c>
      <c r="E276" s="9">
        <v>17.253056432924492</v>
      </c>
    </row>
    <row r="277" spans="1:5" x14ac:dyDescent="0.25">
      <c r="A277" s="15">
        <v>44386</v>
      </c>
      <c r="B277" s="15">
        <v>44403</v>
      </c>
      <c r="C277" s="15">
        <v>44413</v>
      </c>
      <c r="D277" s="9">
        <v>7.6616834277106944</v>
      </c>
      <c r="E277" s="9">
        <v>17.278018912298862</v>
      </c>
    </row>
    <row r="278" spans="1:5" x14ac:dyDescent="0.25">
      <c r="A278" s="15">
        <v>44396</v>
      </c>
      <c r="B278" s="15">
        <v>44414</v>
      </c>
      <c r="C278" s="15">
        <v>44427</v>
      </c>
      <c r="D278" s="9">
        <v>7.6695398019522614</v>
      </c>
      <c r="E278" s="9">
        <v>18.609276497183881</v>
      </c>
    </row>
    <row r="279" spans="1:5" x14ac:dyDescent="0.25">
      <c r="A279" s="15">
        <v>44414</v>
      </c>
      <c r="B279" s="15">
        <v>44428</v>
      </c>
      <c r="C279" s="15">
        <v>44441</v>
      </c>
      <c r="D279" s="9">
        <v>7.6621300365777039</v>
      </c>
      <c r="E279" s="9">
        <v>18.618421187977432</v>
      </c>
    </row>
    <row r="280" spans="1:5" x14ac:dyDescent="0.25">
      <c r="A280" s="15">
        <v>44428</v>
      </c>
      <c r="B280" s="15">
        <v>44442</v>
      </c>
      <c r="C280" s="15">
        <v>44455</v>
      </c>
      <c r="D280" s="9">
        <v>7.6648391418812665</v>
      </c>
      <c r="E280" s="9">
        <v>18.611985495070027</v>
      </c>
    </row>
    <row r="281" spans="1:5" x14ac:dyDescent="0.25">
      <c r="A281" s="15">
        <v>44442</v>
      </c>
      <c r="B281" s="15">
        <v>44456</v>
      </c>
      <c r="C281" s="15">
        <v>44469</v>
      </c>
      <c r="D281" s="9">
        <v>7.6627034947250277</v>
      </c>
      <c r="E281" s="9">
        <v>18.654665621828297</v>
      </c>
    </row>
    <row r="282" spans="1:5" x14ac:dyDescent="0.25">
      <c r="A282" s="15">
        <v>44456</v>
      </c>
      <c r="B282" s="15">
        <v>44470</v>
      </c>
      <c r="C282" s="15">
        <v>44483</v>
      </c>
      <c r="D282" s="9">
        <v>7.666320444314044</v>
      </c>
      <c r="E282" s="9">
        <v>20.152207680186866</v>
      </c>
    </row>
    <row r="283" spans="1:5" x14ac:dyDescent="0.25">
      <c r="A283" s="15">
        <v>44470</v>
      </c>
      <c r="B283" s="15">
        <v>44484</v>
      </c>
      <c r="C283" s="15">
        <v>44500</v>
      </c>
      <c r="D283" s="9">
        <v>7.6788932317237144</v>
      </c>
      <c r="E283" s="9">
        <v>20.109479071735041</v>
      </c>
    </row>
    <row r="284" spans="1:5" x14ac:dyDescent="0.25">
      <c r="A284" s="15">
        <v>44484</v>
      </c>
      <c r="B284" s="15">
        <v>44501</v>
      </c>
      <c r="C284" s="15">
        <v>44511</v>
      </c>
      <c r="D284" s="9">
        <v>7.6941555945591436</v>
      </c>
      <c r="E284" s="9">
        <v>20.162632768406795</v>
      </c>
    </row>
    <row r="285" spans="1:5" x14ac:dyDescent="0.25">
      <c r="A285" s="15">
        <v>44497</v>
      </c>
      <c r="B285" s="15">
        <v>44512</v>
      </c>
      <c r="C285" s="15">
        <v>44525</v>
      </c>
      <c r="D285" s="9">
        <v>7.7020319473183108</v>
      </c>
      <c r="E285" s="9">
        <v>21.680113306383991</v>
      </c>
    </row>
    <row r="286" spans="1:5" x14ac:dyDescent="0.25">
      <c r="A286" s="15">
        <v>44512</v>
      </c>
      <c r="B286" s="15">
        <v>44526</v>
      </c>
      <c r="C286" s="15">
        <v>44539</v>
      </c>
      <c r="D286" s="9">
        <v>7.7030788549131843</v>
      </c>
      <c r="E286" s="9">
        <v>21.774740988349038</v>
      </c>
    </row>
    <row r="287" spans="1:5" x14ac:dyDescent="0.25">
      <c r="A287" s="15">
        <v>44526</v>
      </c>
      <c r="B287" s="15">
        <v>44540</v>
      </c>
      <c r="C287" s="15">
        <v>44553</v>
      </c>
      <c r="D287" s="9">
        <v>7.7095155817490202</v>
      </c>
      <c r="E287" s="9">
        <v>21.742300154995263</v>
      </c>
    </row>
    <row r="288" spans="1:5" x14ac:dyDescent="0.25">
      <c r="A288" s="15">
        <v>44540</v>
      </c>
      <c r="B288" s="15">
        <v>44554</v>
      </c>
      <c r="C288" s="15">
        <v>44567</v>
      </c>
      <c r="D288" s="9">
        <v>7.6984458441076393</v>
      </c>
      <c r="E288" s="9">
        <v>21.638248120537458</v>
      </c>
    </row>
    <row r="289" spans="1:5" x14ac:dyDescent="0.25">
      <c r="A289" s="15">
        <v>44554</v>
      </c>
      <c r="B289" s="15">
        <v>44568</v>
      </c>
      <c r="C289" s="15">
        <v>44581</v>
      </c>
      <c r="D289" s="9">
        <v>7.7002886863901736</v>
      </c>
      <c r="E289" s="9">
        <v>21.782795440630856</v>
      </c>
    </row>
    <row r="290" spans="1:5" x14ac:dyDescent="0.25">
      <c r="A290" s="15">
        <v>44568</v>
      </c>
      <c r="B290" s="15">
        <v>44582</v>
      </c>
      <c r="C290" s="15">
        <v>44595</v>
      </c>
      <c r="D290" s="9">
        <v>7.6885096665039034</v>
      </c>
      <c r="E290" s="9">
        <v>21.717019957139968</v>
      </c>
    </row>
    <row r="291" spans="1:5" x14ac:dyDescent="0.25">
      <c r="A291" s="15">
        <v>44582</v>
      </c>
      <c r="B291" s="15">
        <v>44596</v>
      </c>
      <c r="C291" s="15">
        <v>44609</v>
      </c>
      <c r="D291" s="9">
        <v>7.6803625367843962</v>
      </c>
      <c r="E291" s="9">
        <v>21.67720962307283</v>
      </c>
    </row>
    <row r="292" spans="1:5" x14ac:dyDescent="0.25">
      <c r="A292" s="15">
        <v>44596</v>
      </c>
      <c r="B292" s="15">
        <v>44610</v>
      </c>
      <c r="C292" s="15">
        <v>44623</v>
      </c>
      <c r="D292" s="9">
        <v>7.667016160844577</v>
      </c>
      <c r="E292" s="9">
        <v>21.590729106985268</v>
      </c>
    </row>
    <row r="293" spans="1:5" x14ac:dyDescent="0.25">
      <c r="A293" s="15">
        <v>44610</v>
      </c>
      <c r="B293" s="15">
        <v>44624</v>
      </c>
      <c r="C293" s="15">
        <v>44637</v>
      </c>
      <c r="D293" s="9">
        <v>7.6664317199157468</v>
      </c>
      <c r="E293" s="9">
        <v>21.508178121776929</v>
      </c>
    </row>
    <row r="294" spans="1:5" x14ac:dyDescent="0.25">
      <c r="A294" s="15">
        <v>44624</v>
      </c>
      <c r="B294" s="15">
        <v>44638</v>
      </c>
      <c r="C294" s="15">
        <v>44651</v>
      </c>
      <c r="D294" s="9">
        <v>7.648697610335466</v>
      </c>
      <c r="E294" s="9">
        <v>21.566951928666743</v>
      </c>
    </row>
    <row r="295" spans="1:5" x14ac:dyDescent="0.25">
      <c r="A295" s="15">
        <v>44638</v>
      </c>
      <c r="B295" s="15">
        <v>44652</v>
      </c>
      <c r="C295" s="15">
        <v>44665</v>
      </c>
      <c r="D295" s="9">
        <v>7.7191151357737411</v>
      </c>
      <c r="E295" s="9">
        <v>21.630695953282039</v>
      </c>
    </row>
    <row r="296" spans="1:5" x14ac:dyDescent="0.25">
      <c r="A296" s="15">
        <v>44652</v>
      </c>
      <c r="B296" s="15">
        <v>44666</v>
      </c>
      <c r="C296" s="15">
        <v>44679</v>
      </c>
      <c r="D296" s="9">
        <v>7.7055128011712952</v>
      </c>
      <c r="E296" s="9">
        <v>21.663432674519907</v>
      </c>
    </row>
    <row r="297" spans="1:5" x14ac:dyDescent="0.25">
      <c r="A297" s="15">
        <v>44666</v>
      </c>
      <c r="B297" s="15">
        <v>44680</v>
      </c>
      <c r="C297" s="15">
        <v>44693</v>
      </c>
      <c r="D297" s="9">
        <v>7.6902421602761253</v>
      </c>
      <c r="E297" s="9">
        <v>21.690996979299296</v>
      </c>
    </row>
    <row r="298" spans="1:5" x14ac:dyDescent="0.25">
      <c r="A298" s="15">
        <v>44680</v>
      </c>
      <c r="B298" s="15">
        <v>44694</v>
      </c>
      <c r="C298" s="15">
        <v>44707</v>
      </c>
      <c r="D298" s="9">
        <v>7.5841881265186855</v>
      </c>
      <c r="E298" s="9">
        <v>21.701242346703921</v>
      </c>
    </row>
    <row r="299" spans="1:5" x14ac:dyDescent="0.25">
      <c r="A299" s="15">
        <v>44694</v>
      </c>
      <c r="B299" s="15">
        <v>44708</v>
      </c>
      <c r="C299" s="15">
        <v>44721</v>
      </c>
      <c r="D299" s="9">
        <v>7.5731733234286072</v>
      </c>
      <c r="E299" s="9">
        <v>21.734984387326701</v>
      </c>
    </row>
    <row r="300" spans="1:5" x14ac:dyDescent="0.25">
      <c r="A300" s="15">
        <v>44708</v>
      </c>
      <c r="B300" s="15">
        <v>44722</v>
      </c>
      <c r="C300" s="15">
        <v>44735</v>
      </c>
      <c r="D300" s="9">
        <v>7.6825323885996069</v>
      </c>
      <c r="E300" s="9">
        <v>22.873314729791112</v>
      </c>
    </row>
    <row r="301" spans="1:5" x14ac:dyDescent="0.25">
      <c r="A301" s="15">
        <v>44722</v>
      </c>
      <c r="B301" s="15">
        <v>44736</v>
      </c>
      <c r="C301" s="15">
        <v>44749</v>
      </c>
      <c r="D301" s="9">
        <v>7.5839414853801452</v>
      </c>
      <c r="E301" s="9">
        <v>22.72886745099073</v>
      </c>
    </row>
    <row r="302" spans="1:5" x14ac:dyDescent="0.25">
      <c r="A302" s="15">
        <v>44736</v>
      </c>
      <c r="B302" s="15">
        <v>44750</v>
      </c>
      <c r="C302" s="15">
        <v>44763</v>
      </c>
      <c r="D302" s="9">
        <v>7.6566174823617592</v>
      </c>
      <c r="E302" s="9">
        <v>22.789703460695858</v>
      </c>
    </row>
    <row r="303" spans="1:5" x14ac:dyDescent="0.25">
      <c r="A303" s="15">
        <v>44750</v>
      </c>
      <c r="B303" s="15">
        <v>44764</v>
      </c>
      <c r="C303" s="15">
        <v>44777</v>
      </c>
      <c r="D303" s="9">
        <v>7.6554011660814547</v>
      </c>
      <c r="E303" s="9">
        <v>22.619842910286476</v>
      </c>
    </row>
    <row r="304" spans="1:5" x14ac:dyDescent="0.25">
      <c r="A304" s="15">
        <v>44764</v>
      </c>
      <c r="B304" s="15">
        <v>44778</v>
      </c>
      <c r="C304" s="15">
        <v>44791</v>
      </c>
      <c r="D304" s="9">
        <v>7.6528290505655683</v>
      </c>
      <c r="E304" s="9">
        <v>22.388986111291061</v>
      </c>
    </row>
    <row r="305" spans="1:5" x14ac:dyDescent="0.25">
      <c r="A305" s="15">
        <v>44778</v>
      </c>
      <c r="B305" s="15">
        <v>44792</v>
      </c>
      <c r="C305" s="15">
        <v>44805</v>
      </c>
      <c r="D305" s="9">
        <v>7.6507073133211607</v>
      </c>
      <c r="E305" s="9">
        <v>22.243698980136418</v>
      </c>
    </row>
    <row r="306" spans="1:5" x14ac:dyDescent="0.25">
      <c r="A306" s="15">
        <v>44792</v>
      </c>
      <c r="B306" s="15">
        <v>44806</v>
      </c>
      <c r="C306" s="15">
        <v>44819</v>
      </c>
      <c r="D306" s="9">
        <v>7.653984931119326</v>
      </c>
      <c r="E306" s="9">
        <v>21.878457165012403</v>
      </c>
    </row>
    <row r="307" spans="1:5" x14ac:dyDescent="0.25">
      <c r="A307" s="15">
        <v>44806</v>
      </c>
      <c r="B307" s="15">
        <v>44820</v>
      </c>
      <c r="C307" s="15">
        <v>44833</v>
      </c>
      <c r="D307" s="9">
        <v>7.6454725764615175</v>
      </c>
      <c r="E307" s="9">
        <v>23.101239566498844</v>
      </c>
    </row>
    <row r="308" spans="1:5" x14ac:dyDescent="0.25">
      <c r="A308" s="15">
        <v>44820</v>
      </c>
      <c r="B308" s="15">
        <v>44834</v>
      </c>
      <c r="C308" s="15">
        <v>44847</v>
      </c>
      <c r="D308" s="9">
        <v>7.5803651047156126</v>
      </c>
      <c r="E308" s="9">
        <v>22.654275518171161</v>
      </c>
    </row>
    <row r="309" spans="1:5" x14ac:dyDescent="0.25">
      <c r="A309" s="15">
        <v>44834</v>
      </c>
      <c r="B309" s="15">
        <v>44848</v>
      </c>
      <c r="C309" s="15">
        <v>44861</v>
      </c>
      <c r="D309" s="9">
        <v>7.6206958440445201</v>
      </c>
      <c r="E309" s="9">
        <v>22.439748876182644</v>
      </c>
    </row>
    <row r="310" spans="1:5" x14ac:dyDescent="0.25">
      <c r="A310" s="15">
        <v>44848</v>
      </c>
      <c r="B310" s="15">
        <v>44862</v>
      </c>
      <c r="C310" s="15">
        <v>44875</v>
      </c>
      <c r="D310" s="9">
        <v>7.6352697441331943</v>
      </c>
      <c r="E310" s="9">
        <v>22.333637423488621</v>
      </c>
    </row>
    <row r="311" spans="1:5" x14ac:dyDescent="0.25">
      <c r="A311" s="15">
        <v>44862</v>
      </c>
      <c r="B311" s="15">
        <v>44876</v>
      </c>
      <c r="C311" s="15">
        <v>44889</v>
      </c>
      <c r="D311" s="9">
        <v>7.6473675584977254</v>
      </c>
      <c r="E311" s="9">
        <v>22.033886414622373</v>
      </c>
    </row>
    <row r="312" spans="1:5" x14ac:dyDescent="0.25">
      <c r="A312" s="15">
        <v>44876</v>
      </c>
      <c r="B312" s="15">
        <v>44890</v>
      </c>
      <c r="C312" s="15">
        <v>44903</v>
      </c>
      <c r="D312" s="9">
        <v>7.6675719877612387</v>
      </c>
      <c r="E312" s="9">
        <v>22.050966788915652</v>
      </c>
    </row>
    <row r="313" spans="1:5" x14ac:dyDescent="0.25">
      <c r="A313" s="15">
        <v>44890</v>
      </c>
      <c r="B313" s="15">
        <v>44904</v>
      </c>
      <c r="C313" s="15">
        <v>44917</v>
      </c>
      <c r="D313" s="9">
        <v>7.6886203241242583</v>
      </c>
      <c r="E313" s="9">
        <v>21.997512607642904</v>
      </c>
    </row>
    <row r="314" spans="1:5" x14ac:dyDescent="0.25">
      <c r="A314" s="15">
        <v>44904</v>
      </c>
      <c r="B314" s="15">
        <v>44918</v>
      </c>
      <c r="C314" s="15">
        <v>44931</v>
      </c>
      <c r="D314" s="9">
        <v>7.7049729406764103</v>
      </c>
      <c r="E314" s="9">
        <v>22.000965216614169</v>
      </c>
    </row>
    <row r="315" spans="1:5" x14ac:dyDescent="0.25">
      <c r="A315" s="15">
        <v>44918</v>
      </c>
      <c r="B315" s="15">
        <v>44932</v>
      </c>
      <c r="C315" s="15">
        <v>44945</v>
      </c>
      <c r="D315" s="9">
        <v>7.7148893954447102</v>
      </c>
      <c r="E315" s="9">
        <v>21.83648127461441</v>
      </c>
    </row>
    <row r="316" spans="1:5" x14ac:dyDescent="0.25">
      <c r="A316" s="15">
        <v>44932</v>
      </c>
      <c r="B316" s="15">
        <v>44946</v>
      </c>
      <c r="C316" s="15">
        <v>44959</v>
      </c>
      <c r="D316" s="9">
        <v>7.7373825687491067</v>
      </c>
      <c r="E316" s="9">
        <v>21.902269396878694</v>
      </c>
    </row>
    <row r="317" spans="1:5" x14ac:dyDescent="0.25">
      <c r="A317" s="15">
        <v>44946</v>
      </c>
      <c r="B317" s="15">
        <v>44960</v>
      </c>
      <c r="C317" s="15">
        <v>44973</v>
      </c>
      <c r="D317" s="9">
        <v>7.3123498096786879</v>
      </c>
      <c r="E317" s="9">
        <v>21.958656726314462</v>
      </c>
    </row>
    <row r="318" spans="1:5" x14ac:dyDescent="0.25">
      <c r="A318" s="15">
        <v>44960</v>
      </c>
      <c r="B318" s="15">
        <v>44974</v>
      </c>
      <c r="C318" s="15">
        <v>44987</v>
      </c>
      <c r="D318" s="9">
        <v>7.2936024278048226</v>
      </c>
      <c r="E318" s="9">
        <v>21.894488020935075</v>
      </c>
    </row>
    <row r="319" spans="1:5" x14ac:dyDescent="0.25">
      <c r="A319" s="15">
        <v>44974</v>
      </c>
      <c r="B319" s="15">
        <v>44988</v>
      </c>
      <c r="C319" s="15">
        <v>45001</v>
      </c>
      <c r="D319" s="9">
        <v>7.2604559894109482</v>
      </c>
      <c r="E319" s="9">
        <v>21.826889653106161</v>
      </c>
    </row>
    <row r="320" spans="1:5" x14ac:dyDescent="0.25">
      <c r="A320" s="15">
        <v>44988</v>
      </c>
      <c r="B320" s="15">
        <v>45002</v>
      </c>
      <c r="C320" s="15">
        <v>45015</v>
      </c>
      <c r="D320" s="9">
        <v>7.2038397238855838</v>
      </c>
      <c r="E320" s="9">
        <v>21.604809056137199</v>
      </c>
    </row>
    <row r="321" spans="1:5" x14ac:dyDescent="0.25">
      <c r="A321" s="15">
        <v>45002</v>
      </c>
      <c r="B321" s="15">
        <v>45016</v>
      </c>
      <c r="C321" s="15">
        <v>45029</v>
      </c>
      <c r="D321" s="9">
        <v>7.1627586072045695</v>
      </c>
      <c r="E321" s="9">
        <v>21.668088400391657</v>
      </c>
    </row>
    <row r="322" spans="1:5" x14ac:dyDescent="0.25">
      <c r="A322" s="15">
        <v>45016</v>
      </c>
      <c r="B322" s="15">
        <v>45030</v>
      </c>
      <c r="C322" s="15">
        <v>45043</v>
      </c>
      <c r="D322" s="9">
        <v>7.1046837410364176</v>
      </c>
      <c r="E322" s="9">
        <v>21.607520492887996</v>
      </c>
    </row>
    <row r="323" spans="1:5" x14ac:dyDescent="0.25">
      <c r="A323" s="15">
        <v>45030</v>
      </c>
      <c r="B323" s="15">
        <v>45044</v>
      </c>
      <c r="C323" s="15">
        <v>45057</v>
      </c>
      <c r="D323" s="9">
        <v>6.9769051216032425</v>
      </c>
      <c r="E323" s="9">
        <v>21.638256133915405</v>
      </c>
    </row>
    <row r="324" spans="1:5" s="50" customFormat="1" x14ac:dyDescent="0.25">
      <c r="A324" s="15">
        <v>45044</v>
      </c>
      <c r="B324" s="15">
        <v>45058</v>
      </c>
      <c r="C324" s="15">
        <v>45071</v>
      </c>
      <c r="D324" s="9">
        <v>6.7823276992111516</v>
      </c>
      <c r="E324" s="9">
        <v>22.182070775024599</v>
      </c>
    </row>
    <row r="325" spans="1:5" s="50" customFormat="1" x14ac:dyDescent="0.25">
      <c r="A325" s="15">
        <v>45058</v>
      </c>
      <c r="B325" s="15">
        <v>45072</v>
      </c>
      <c r="C325" s="15">
        <v>45085</v>
      </c>
      <c r="D325" s="9">
        <v>6.5239541679763855</v>
      </c>
      <c r="E325" s="9">
        <v>22.120808170731699</v>
      </c>
    </row>
    <row r="326" spans="1:5" s="50" customFormat="1" x14ac:dyDescent="0.25">
      <c r="A326" s="15">
        <v>45072</v>
      </c>
      <c r="B326" s="15">
        <v>45086</v>
      </c>
      <c r="C326" s="15">
        <v>45099</v>
      </c>
      <c r="D326" s="9">
        <v>6.4424773147472996</v>
      </c>
      <c r="E326" s="9">
        <v>21.924097828093</v>
      </c>
    </row>
    <row r="327" spans="1:5" s="50" customFormat="1" x14ac:dyDescent="0.25">
      <c r="A327" s="15">
        <v>45086</v>
      </c>
      <c r="B327" s="15">
        <v>45100</v>
      </c>
      <c r="C327" s="15">
        <v>45113</v>
      </c>
      <c r="D327" s="9">
        <v>6.4055945701638004</v>
      </c>
      <c r="E327" s="9">
        <v>22.338176879209701</v>
      </c>
    </row>
    <row r="328" spans="1:5" s="50" customFormat="1" ht="12.75" customHeight="1" x14ac:dyDescent="0.25">
      <c r="A328" s="15">
        <v>45100</v>
      </c>
      <c r="B328" s="15">
        <v>45114</v>
      </c>
      <c r="C328" s="15">
        <v>45127</v>
      </c>
      <c r="D328" s="9">
        <v>6.4790431683074798</v>
      </c>
      <c r="E328" s="9">
        <v>21.869967656203102</v>
      </c>
    </row>
    <row r="329" spans="1:5" s="50" customFormat="1" x14ac:dyDescent="0.25">
      <c r="A329" s="15">
        <v>45114</v>
      </c>
      <c r="B329" s="15">
        <v>45128</v>
      </c>
      <c r="C329" s="15">
        <v>45141</v>
      </c>
      <c r="D329" s="9">
        <v>6.3606483870735904</v>
      </c>
      <c r="E329" s="9">
        <v>21.7960626007842</v>
      </c>
    </row>
    <row r="330" spans="1:5" s="50" customFormat="1" x14ac:dyDescent="0.25">
      <c r="A330" s="15">
        <v>45128</v>
      </c>
      <c r="B330" s="15">
        <v>45142</v>
      </c>
      <c r="C330" s="15">
        <v>45155</v>
      </c>
      <c r="D330" s="9">
        <v>11.1371921654052</v>
      </c>
      <c r="E330" s="9">
        <v>21.832740594079699</v>
      </c>
    </row>
    <row r="331" spans="1:5" s="50" customFormat="1" x14ac:dyDescent="0.25">
      <c r="A331" s="15">
        <v>45142</v>
      </c>
      <c r="B331" s="15">
        <v>45156</v>
      </c>
      <c r="C331" s="15">
        <v>45169</v>
      </c>
      <c r="D331" s="9">
        <v>11.2318845798209</v>
      </c>
      <c r="E331" s="9">
        <v>21.7652492293855</v>
      </c>
    </row>
    <row r="332" spans="1:5" s="50" customFormat="1" x14ac:dyDescent="0.25">
      <c r="A332" s="15">
        <v>45156</v>
      </c>
      <c r="B332" s="15">
        <v>45170</v>
      </c>
      <c r="C332" s="15">
        <v>45183</v>
      </c>
      <c r="D332" s="9">
        <v>11.2719319473329</v>
      </c>
      <c r="E332" s="9">
        <v>22.9153881314895</v>
      </c>
    </row>
    <row r="333" spans="1:5" s="50" customFormat="1" x14ac:dyDescent="0.25">
      <c r="A333" s="15">
        <v>45170</v>
      </c>
      <c r="B333" s="15">
        <v>45184</v>
      </c>
      <c r="C333" s="15">
        <v>45197</v>
      </c>
      <c r="D333" s="9">
        <v>14.325940061663299</v>
      </c>
      <c r="E333" s="9">
        <v>22.8912908686703</v>
      </c>
    </row>
    <row r="334" spans="1:5" s="50" customFormat="1" x14ac:dyDescent="0.25">
      <c r="A334" s="15">
        <v>45184</v>
      </c>
      <c r="B334" s="15">
        <v>45198</v>
      </c>
      <c r="C334" s="15">
        <v>45211</v>
      </c>
      <c r="D334" s="9">
        <v>13.9463635763871</v>
      </c>
      <c r="E334" s="9">
        <v>22.751525751874802</v>
      </c>
    </row>
    <row r="335" spans="1:5" s="50" customFormat="1" x14ac:dyDescent="0.25">
      <c r="A335" s="15">
        <v>45198</v>
      </c>
      <c r="B335" s="15">
        <v>45212</v>
      </c>
      <c r="C335" s="15">
        <v>45225</v>
      </c>
      <c r="D335" s="9">
        <v>13.679177001548799</v>
      </c>
      <c r="E335" s="9">
        <v>22.636392983124999</v>
      </c>
    </row>
    <row r="336" spans="1:5" s="50" customFormat="1" x14ac:dyDescent="0.25">
      <c r="A336" s="15">
        <v>45212</v>
      </c>
      <c r="B336" s="15">
        <v>45226</v>
      </c>
      <c r="C336" s="15">
        <v>45239</v>
      </c>
      <c r="D336" s="9">
        <v>13.1039529393338</v>
      </c>
      <c r="E336" s="9">
        <v>22.6058646001546</v>
      </c>
    </row>
    <row r="337" spans="1:5" s="50" customFormat="1" x14ac:dyDescent="0.25">
      <c r="A337" s="15">
        <v>45226</v>
      </c>
      <c r="B337" s="15">
        <v>45240</v>
      </c>
      <c r="C337" s="15">
        <v>45253</v>
      </c>
      <c r="D337" s="9">
        <v>14.427536927751801</v>
      </c>
      <c r="E337" s="9">
        <v>23.157238236959</v>
      </c>
    </row>
    <row r="338" spans="1:5" s="50" customFormat="1" x14ac:dyDescent="0.25">
      <c r="A338" s="15">
        <v>45240</v>
      </c>
      <c r="B338" s="15">
        <v>45254</v>
      </c>
      <c r="C338" s="15">
        <v>45267</v>
      </c>
      <c r="D338" s="9">
        <v>13.5554635797355</v>
      </c>
      <c r="E338" s="9">
        <v>23.0266938241041</v>
      </c>
    </row>
    <row r="339" spans="1:5" s="50" customFormat="1" x14ac:dyDescent="0.25">
      <c r="A339" s="15">
        <v>45254</v>
      </c>
      <c r="B339" s="15">
        <v>45268</v>
      </c>
      <c r="C339" s="15">
        <v>45281</v>
      </c>
      <c r="D339" s="9">
        <v>12.8287995586796</v>
      </c>
      <c r="E339" s="9">
        <v>22.882449572775901</v>
      </c>
    </row>
    <row r="340" spans="1:5" s="50" customFormat="1" x14ac:dyDescent="0.25">
      <c r="A340" s="15">
        <v>45268</v>
      </c>
      <c r="B340" s="15">
        <v>45282</v>
      </c>
      <c r="C340" s="15">
        <v>45295</v>
      </c>
      <c r="D340" s="9">
        <v>12.4127663917377</v>
      </c>
      <c r="E340" s="9">
        <v>22.817282644399501</v>
      </c>
    </row>
    <row r="341" spans="1:5" s="50" customFormat="1" x14ac:dyDescent="0.25">
      <c r="A341" s="15">
        <v>45282</v>
      </c>
      <c r="B341" s="15">
        <v>45296</v>
      </c>
      <c r="C341" s="15">
        <v>45309</v>
      </c>
      <c r="D341" s="9">
        <v>11.934257193433501</v>
      </c>
      <c r="E341" s="9">
        <v>22.839415916075001</v>
      </c>
    </row>
    <row r="342" spans="1:5" s="50" customFormat="1" ht="14.25" customHeight="1" x14ac:dyDescent="0.25">
      <c r="A342" s="15">
        <v>45296</v>
      </c>
      <c r="B342" s="15">
        <v>45310</v>
      </c>
      <c r="C342" s="15">
        <v>45323</v>
      </c>
      <c r="D342" s="9">
        <v>11.4710561016268</v>
      </c>
      <c r="E342" s="9">
        <v>22.8022571639939</v>
      </c>
    </row>
    <row r="343" spans="1:5" s="50" customFormat="1" ht="14.25" customHeight="1" x14ac:dyDescent="0.25">
      <c r="A343" s="15">
        <v>45310</v>
      </c>
      <c r="B343" s="15">
        <v>45324</v>
      </c>
      <c r="C343" s="15">
        <v>45337</v>
      </c>
      <c r="D343" s="9">
        <v>10.084147849553233</v>
      </c>
      <c r="E343" s="9">
        <v>22.728037331864133</v>
      </c>
    </row>
    <row r="344" spans="1:5" s="50" customFormat="1" ht="14.25" customHeight="1" x14ac:dyDescent="0.25">
      <c r="A344" s="15">
        <v>45324</v>
      </c>
      <c r="B344" s="15">
        <v>45338</v>
      </c>
      <c r="C344" s="15">
        <v>45351</v>
      </c>
      <c r="D344" s="9">
        <v>9.5457878407199406</v>
      </c>
      <c r="E344" s="9">
        <v>22.6778061048729</v>
      </c>
    </row>
    <row r="345" spans="1:5" s="50" customFormat="1" ht="14.25" customHeight="1" x14ac:dyDescent="0.25">
      <c r="A345" s="15">
        <v>45338</v>
      </c>
      <c r="B345" s="15">
        <v>45352</v>
      </c>
      <c r="C345" s="15">
        <v>45365</v>
      </c>
      <c r="D345" s="9">
        <v>9.0841059905285206</v>
      </c>
      <c r="E345" s="9">
        <v>22.603880735102098</v>
      </c>
    </row>
    <row r="346" spans="1:5" s="50" customFormat="1" ht="14.25" customHeight="1" x14ac:dyDescent="0.25">
      <c r="A346" s="15">
        <v>45352</v>
      </c>
      <c r="B346" s="15">
        <v>45366</v>
      </c>
      <c r="C346" s="15">
        <v>45379</v>
      </c>
      <c r="D346" s="9">
        <v>8.8630750731239907</v>
      </c>
      <c r="E346" s="9">
        <v>22.5411483120748</v>
      </c>
    </row>
    <row r="347" spans="1:5" s="50" customFormat="1" ht="14.25" customHeight="1" x14ac:dyDescent="0.25">
      <c r="A347" s="15">
        <v>45366</v>
      </c>
      <c r="B347" s="15">
        <v>45380</v>
      </c>
      <c r="C347" s="15">
        <v>45393</v>
      </c>
      <c r="D347" s="9">
        <v>8.7591212536183995</v>
      </c>
      <c r="E347" s="9">
        <v>22.551306145248802</v>
      </c>
    </row>
    <row r="348" spans="1:5" s="50" customFormat="1" ht="14.25" customHeight="1" x14ac:dyDescent="0.25">
      <c r="A348" s="15">
        <v>45380</v>
      </c>
      <c r="B348" s="15">
        <v>45394</v>
      </c>
      <c r="C348" s="15">
        <v>45407</v>
      </c>
      <c r="D348" s="9">
        <v>8.7711982422602102</v>
      </c>
      <c r="E348" s="9">
        <v>22.482331119384799</v>
      </c>
    </row>
    <row r="349" spans="1:5" s="50" customFormat="1" ht="14.25" customHeight="1" x14ac:dyDescent="0.25">
      <c r="A349" s="15">
        <v>45391</v>
      </c>
      <c r="B349" s="15">
        <v>45408</v>
      </c>
      <c r="C349" s="15">
        <v>45421</v>
      </c>
      <c r="D349" s="9">
        <v>8.7987332075411508</v>
      </c>
      <c r="E349" s="9">
        <v>22.336250058869599</v>
      </c>
    </row>
    <row r="350" spans="1:5" s="50" customFormat="1" ht="14.25" customHeight="1" x14ac:dyDescent="0.25">
      <c r="A350" s="15">
        <v>45408</v>
      </c>
      <c r="B350" s="15">
        <v>45422</v>
      </c>
      <c r="C350" s="15">
        <v>45435</v>
      </c>
      <c r="D350" s="9">
        <v>8.7616166287795192</v>
      </c>
      <c r="E350" s="9">
        <v>22.4402638511052</v>
      </c>
    </row>
    <row r="351" spans="1:5" s="50" customFormat="1" ht="14.25" customHeight="1" x14ac:dyDescent="0.25">
      <c r="A351" s="15">
        <v>45422</v>
      </c>
      <c r="B351" s="15">
        <v>45436</v>
      </c>
      <c r="C351" s="15">
        <v>45449</v>
      </c>
      <c r="D351" s="9">
        <v>14.684795532418701</v>
      </c>
      <c r="E351" s="9">
        <v>22.1001414156148</v>
      </c>
    </row>
    <row r="352" spans="1:5" s="50" customFormat="1" ht="14.25" customHeight="1" x14ac:dyDescent="0.25">
      <c r="A352" s="15">
        <v>45436</v>
      </c>
      <c r="B352" s="15">
        <v>45450</v>
      </c>
      <c r="C352" s="15">
        <v>45463</v>
      </c>
      <c r="D352" s="9">
        <v>14.3945452456532</v>
      </c>
      <c r="E352" s="9">
        <v>22.0027791046567</v>
      </c>
    </row>
    <row r="353" spans="1:5" s="50" customFormat="1" ht="14.25" customHeight="1" x14ac:dyDescent="0.25">
      <c r="A353" s="15">
        <v>45450</v>
      </c>
      <c r="B353" s="15">
        <v>45464</v>
      </c>
      <c r="C353" s="15">
        <v>45477</v>
      </c>
      <c r="D353" s="9">
        <v>14.198135797916301</v>
      </c>
      <c r="E353" s="9">
        <v>21.765079138852101</v>
      </c>
    </row>
    <row r="354" spans="1:5" s="50" customFormat="1" ht="14.25" customHeight="1" x14ac:dyDescent="0.25">
      <c r="A354" s="15">
        <v>45464</v>
      </c>
      <c r="B354" s="15">
        <v>45478</v>
      </c>
      <c r="C354" s="15">
        <v>45491</v>
      </c>
      <c r="D354" s="9">
        <v>14.0005241668084</v>
      </c>
      <c r="E354" s="9">
        <v>21.574412946948399</v>
      </c>
    </row>
    <row r="355" spans="1:5" s="50" customFormat="1" ht="14.25" customHeight="1" x14ac:dyDescent="0.25">
      <c r="A355" s="15">
        <v>45478</v>
      </c>
      <c r="B355" s="15">
        <v>45492</v>
      </c>
      <c r="C355" s="15">
        <v>45505</v>
      </c>
      <c r="D355" s="9">
        <v>13.9139225628593</v>
      </c>
      <c r="E355" s="9">
        <v>21.354053913937602</v>
      </c>
    </row>
    <row r="356" spans="1:5" s="50" customFormat="1" ht="14.25" customHeight="1" x14ac:dyDescent="0.25">
      <c r="A356" s="15">
        <v>45492</v>
      </c>
      <c r="B356" s="15">
        <v>45506</v>
      </c>
      <c r="C356" s="15">
        <v>45519</v>
      </c>
      <c r="D356" s="9">
        <v>13.7362018988001</v>
      </c>
      <c r="E356" s="9">
        <v>21.397257227097501</v>
      </c>
    </row>
    <row r="357" spans="1:5" s="50" customFormat="1" ht="14.25" customHeight="1" x14ac:dyDescent="0.25">
      <c r="A357" s="15">
        <v>45506</v>
      </c>
      <c r="B357" s="15">
        <v>45520</v>
      </c>
      <c r="C357" s="15">
        <v>45533</v>
      </c>
      <c r="D357" s="9">
        <v>13.5931052197048</v>
      </c>
      <c r="E357" s="9">
        <v>21.345409114436901</v>
      </c>
    </row>
    <row r="358" spans="1:5" s="50" customFormat="1" ht="14.25" customHeight="1" x14ac:dyDescent="0.25">
      <c r="A358" s="15">
        <v>45520</v>
      </c>
      <c r="B358" s="15">
        <v>45537</v>
      </c>
      <c r="C358" s="15">
        <v>45547</v>
      </c>
      <c r="D358" s="9">
        <v>13.4997464715271</v>
      </c>
      <c r="E358" s="9">
        <v>21.4011601983274</v>
      </c>
    </row>
    <row r="359" spans="1:5" s="50" customFormat="1" ht="14.25" customHeight="1" x14ac:dyDescent="0.25">
      <c r="A359" s="15">
        <v>45533</v>
      </c>
      <c r="B359" s="15">
        <v>45548</v>
      </c>
      <c r="C359" s="15">
        <v>45561</v>
      </c>
      <c r="D359" s="9">
        <v>13.459190867637099</v>
      </c>
      <c r="E359" s="9">
        <v>21.426596470864801</v>
      </c>
    </row>
    <row r="360" spans="1:5" s="50" customFormat="1" ht="14.25" customHeight="1" x14ac:dyDescent="0.25">
      <c r="A360" s="15">
        <v>45548</v>
      </c>
      <c r="B360" s="15">
        <v>45562</v>
      </c>
      <c r="C360" s="15">
        <v>45575</v>
      </c>
      <c r="D360" s="9">
        <v>15.487024976444101</v>
      </c>
      <c r="E360" s="9">
        <v>21.411454608502101</v>
      </c>
    </row>
    <row r="361" spans="1:5" s="50" customFormat="1" ht="14.25" customHeight="1" x14ac:dyDescent="0.25">
      <c r="A361" s="15">
        <v>45562</v>
      </c>
      <c r="B361" s="15">
        <v>45576</v>
      </c>
      <c r="C361" s="15">
        <v>45589</v>
      </c>
      <c r="D361" s="9">
        <v>15.429750422081201</v>
      </c>
      <c r="E361" s="9">
        <v>21.374374433361801</v>
      </c>
    </row>
    <row r="362" spans="1:5" s="50" customFormat="1" ht="14.25" customHeight="1" x14ac:dyDescent="0.25">
      <c r="A362" s="15">
        <v>45576</v>
      </c>
      <c r="B362" s="15">
        <v>45590</v>
      </c>
      <c r="C362" s="15">
        <v>45603</v>
      </c>
      <c r="D362" s="9">
        <v>15.4631780805337</v>
      </c>
      <c r="E362" s="9">
        <v>21.246122628122698</v>
      </c>
    </row>
    <row r="363" spans="1:5" s="50" customFormat="1" ht="14.25" customHeight="1" x14ac:dyDescent="0.25">
      <c r="A363" s="15">
        <v>45590</v>
      </c>
      <c r="B363" s="15">
        <v>45604</v>
      </c>
      <c r="C363" s="15">
        <v>45617</v>
      </c>
      <c r="D363" s="9">
        <v>15.3887831437307</v>
      </c>
      <c r="E363" s="9">
        <v>21.240787723428699</v>
      </c>
    </row>
    <row r="364" spans="1:5" s="50" customFormat="1" ht="14.25" customHeight="1" x14ac:dyDescent="0.25">
      <c r="A364" s="15">
        <v>45604</v>
      </c>
      <c r="B364" s="15">
        <v>45618</v>
      </c>
      <c r="C364" s="15">
        <v>45631</v>
      </c>
      <c r="D364" s="9">
        <v>15.402694084872101</v>
      </c>
      <c r="E364" s="9">
        <v>21.226522652484501</v>
      </c>
    </row>
    <row r="365" spans="1:5" s="50" customFormat="1" ht="14.25" customHeight="1" x14ac:dyDescent="0.25">
      <c r="A365" s="15">
        <v>45618</v>
      </c>
      <c r="B365" s="15">
        <v>45632</v>
      </c>
      <c r="C365" s="15">
        <v>45645</v>
      </c>
      <c r="D365" s="9">
        <v>16.701564942280999</v>
      </c>
      <c r="E365" s="9">
        <v>21.150061713522401</v>
      </c>
    </row>
    <row r="366" spans="1:5" s="50" customFormat="1" ht="14.25" customHeight="1" x14ac:dyDescent="0.25">
      <c r="A366" s="15">
        <v>45632</v>
      </c>
      <c r="B366" s="15">
        <v>45646</v>
      </c>
      <c r="C366" s="15">
        <v>45659</v>
      </c>
      <c r="D366" s="9">
        <v>16.673024172496799</v>
      </c>
      <c r="E366" s="9">
        <v>20.925538736929699</v>
      </c>
    </row>
    <row r="367" spans="1:5" s="50" customFormat="1" ht="14.1" customHeight="1" x14ac:dyDescent="0.25">
      <c r="A367" s="15">
        <v>45646</v>
      </c>
      <c r="B367" s="15">
        <v>45660</v>
      </c>
      <c r="C367" s="15">
        <v>45673</v>
      </c>
      <c r="D367" s="9">
        <v>16.678910770995799</v>
      </c>
      <c r="E367" s="9">
        <v>20.884775952382402</v>
      </c>
    </row>
    <row r="368" spans="1:5" s="50" customFormat="1" ht="14.25" customHeight="1" x14ac:dyDescent="0.25">
      <c r="A368" s="15">
        <v>45660</v>
      </c>
      <c r="B368" s="15">
        <v>45674</v>
      </c>
      <c r="C368" s="15">
        <v>45687</v>
      </c>
      <c r="D368" s="9">
        <v>16.587240113509498</v>
      </c>
      <c r="E368" s="9">
        <v>21.008816444629399</v>
      </c>
    </row>
    <row r="369" spans="1:16382" s="50" customFormat="1" ht="14.25" customHeight="1" x14ac:dyDescent="0.25">
      <c r="A369" s="15">
        <v>45674</v>
      </c>
      <c r="B369" s="15">
        <v>45688</v>
      </c>
      <c r="C369" s="15">
        <v>45701</v>
      </c>
      <c r="D369" s="9">
        <v>16.408646598035201</v>
      </c>
      <c r="E369" s="9">
        <v>20.999020062900701</v>
      </c>
    </row>
    <row r="370" spans="1:16382" s="50" customFormat="1" ht="14.25" customHeight="1" x14ac:dyDescent="0.25">
      <c r="A370" s="15">
        <v>45688</v>
      </c>
      <c r="B370" s="15">
        <v>45702</v>
      </c>
      <c r="C370" s="15">
        <v>45715</v>
      </c>
      <c r="D370" s="9">
        <v>16.2395574104948</v>
      </c>
      <c r="E370" s="9">
        <v>20.929164014881099</v>
      </c>
    </row>
    <row r="371" spans="1:16382" s="50" customFormat="1" ht="14.25" customHeight="1" x14ac:dyDescent="0.25">
      <c r="A371" s="15">
        <v>45702</v>
      </c>
      <c r="B371" s="15">
        <v>45716</v>
      </c>
      <c r="C371" s="15">
        <v>45729</v>
      </c>
      <c r="D371" s="9">
        <v>16.281995724975101</v>
      </c>
      <c r="E371" s="9">
        <v>20.9451863180538</v>
      </c>
    </row>
    <row r="372" spans="1:16382" s="50" customFormat="1" ht="14.25" customHeight="1" x14ac:dyDescent="0.25">
      <c r="A372" s="15">
        <v>45716</v>
      </c>
      <c r="B372" s="15">
        <v>45730</v>
      </c>
      <c r="C372" s="15">
        <v>45743</v>
      </c>
      <c r="D372" s="9">
        <v>16.2328865246708</v>
      </c>
      <c r="E372" s="9">
        <v>20.969711897162799</v>
      </c>
    </row>
    <row r="373" spans="1:16382" s="50" customFormat="1" ht="14.25" customHeight="1" x14ac:dyDescent="0.25">
      <c r="A373" s="15">
        <v>45730</v>
      </c>
      <c r="B373" s="15">
        <v>45744</v>
      </c>
      <c r="C373" s="15">
        <v>45757</v>
      </c>
      <c r="D373" s="9">
        <v>16.131328525365898</v>
      </c>
      <c r="E373" s="9">
        <v>21.0057203529589</v>
      </c>
    </row>
    <row r="374" spans="1:16382" s="50" customFormat="1" ht="14.25" customHeight="1" x14ac:dyDescent="0.25">
      <c r="A374" s="15">
        <v>45744</v>
      </c>
      <c r="B374" s="15">
        <v>45758</v>
      </c>
      <c r="C374" s="15">
        <v>45771</v>
      </c>
      <c r="D374" s="9">
        <v>16.139126845504499</v>
      </c>
      <c r="E374" s="9">
        <v>21.045957016848899</v>
      </c>
    </row>
    <row r="375" spans="1:16382" s="50" customFormat="1" ht="14.25" customHeight="1" x14ac:dyDescent="0.25">
      <c r="A375" s="17">
        <v>45758</v>
      </c>
      <c r="B375" s="17">
        <v>45772</v>
      </c>
      <c r="C375" s="17">
        <v>45785</v>
      </c>
      <c r="D375" s="51">
        <v>16.207422162175799</v>
      </c>
      <c r="E375" s="51">
        <v>21.1218816796579</v>
      </c>
    </row>
    <row r="376" spans="1:16382" s="50" customFormat="1" x14ac:dyDescent="0.25"/>
    <row r="377" spans="1:16382" ht="38.25" customHeight="1" x14ac:dyDescent="0.25">
      <c r="A377" s="81" t="s">
        <v>59</v>
      </c>
      <c r="B377" s="81"/>
      <c r="C377" s="81"/>
      <c r="D377" s="81"/>
      <c r="E377" s="81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/>
      <c r="BJ377" s="50"/>
      <c r="BK377" s="50"/>
      <c r="BL377" s="50"/>
      <c r="BM377" s="50"/>
      <c r="BN377" s="50"/>
      <c r="BO377" s="50"/>
      <c r="BP377" s="50"/>
      <c r="BQ377" s="50"/>
      <c r="BR377" s="50"/>
      <c r="BS377" s="50"/>
      <c r="BT377" s="50"/>
      <c r="BU377" s="50"/>
      <c r="BV377" s="50"/>
      <c r="BW377" s="50"/>
      <c r="BX377" s="50"/>
      <c r="BY377" s="50"/>
      <c r="BZ377" s="50"/>
      <c r="CA377" s="50"/>
      <c r="CB377" s="50"/>
      <c r="CC377" s="50"/>
      <c r="CD377" s="50"/>
      <c r="CE377" s="50"/>
      <c r="CF377" s="50"/>
      <c r="CG377" s="50"/>
      <c r="CH377" s="50"/>
      <c r="CI377" s="50"/>
      <c r="CJ377" s="50"/>
      <c r="CK377" s="50"/>
      <c r="CL377" s="50"/>
      <c r="CM377" s="50"/>
      <c r="CN377" s="50"/>
      <c r="CO377" s="50"/>
      <c r="CP377" s="50"/>
      <c r="CQ377" s="50"/>
      <c r="CR377" s="50"/>
      <c r="CS377" s="50"/>
      <c r="CT377" s="50"/>
      <c r="CU377" s="50"/>
      <c r="CV377" s="50"/>
      <c r="CW377" s="50"/>
      <c r="CX377" s="50"/>
      <c r="CY377" s="50"/>
      <c r="CZ377" s="50"/>
      <c r="DA377" s="50"/>
      <c r="DB377" s="50"/>
      <c r="DC377" s="50"/>
      <c r="DD377" s="50"/>
      <c r="DE377" s="50"/>
      <c r="DF377" s="50"/>
      <c r="DG377" s="50"/>
      <c r="DH377" s="50"/>
      <c r="DI377" s="50"/>
      <c r="DJ377" s="50"/>
      <c r="DK377" s="50"/>
      <c r="DL377" s="50"/>
      <c r="DM377" s="50"/>
      <c r="DN377" s="50"/>
      <c r="DO377" s="50"/>
      <c r="DP377" s="50"/>
      <c r="DQ377" s="50"/>
      <c r="DR377" s="50"/>
      <c r="DS377" s="50"/>
      <c r="DT377" s="50"/>
      <c r="DU377" s="50"/>
      <c r="DV377" s="50"/>
      <c r="DW377" s="50"/>
      <c r="DX377" s="50"/>
      <c r="DY377" s="50"/>
      <c r="DZ377" s="50"/>
      <c r="EA377" s="50"/>
      <c r="EB377" s="50"/>
      <c r="EC377" s="50"/>
      <c r="ED377" s="50"/>
      <c r="EE377" s="50"/>
      <c r="EF377" s="50"/>
      <c r="EG377" s="50"/>
      <c r="EH377" s="50"/>
      <c r="EI377" s="50"/>
      <c r="EJ377" s="50"/>
      <c r="EK377" s="50"/>
      <c r="EL377" s="50"/>
      <c r="EM377" s="50"/>
      <c r="EN377" s="50"/>
      <c r="EO377" s="50"/>
      <c r="EP377" s="50"/>
      <c r="EQ377" s="50"/>
      <c r="ER377" s="50"/>
      <c r="ES377" s="50"/>
      <c r="ET377" s="50"/>
      <c r="EU377" s="50"/>
      <c r="EV377" s="50"/>
      <c r="EW377" s="50"/>
      <c r="EX377" s="50"/>
      <c r="EY377" s="50"/>
      <c r="EZ377" s="50"/>
      <c r="FA377" s="50"/>
      <c r="FB377" s="50"/>
      <c r="FC377" s="50"/>
      <c r="FD377" s="50"/>
      <c r="FE377" s="50"/>
      <c r="FF377" s="50"/>
      <c r="FG377" s="50"/>
      <c r="FH377" s="50"/>
      <c r="FI377" s="50"/>
      <c r="FJ377" s="50"/>
      <c r="FK377" s="50"/>
      <c r="FL377" s="50"/>
      <c r="FM377" s="50"/>
      <c r="FN377" s="50"/>
      <c r="FO377" s="50"/>
      <c r="FP377" s="50"/>
      <c r="FQ377" s="50"/>
      <c r="FR377" s="50"/>
      <c r="FS377" s="50"/>
      <c r="FT377" s="50"/>
      <c r="FU377" s="50"/>
      <c r="FV377" s="50"/>
      <c r="FW377" s="50"/>
      <c r="FX377" s="50"/>
      <c r="FY377" s="50"/>
      <c r="FZ377" s="50"/>
      <c r="GA377" s="50"/>
      <c r="GB377" s="50"/>
      <c r="GC377" s="50"/>
      <c r="GD377" s="50"/>
      <c r="GE377" s="50"/>
      <c r="GF377" s="50"/>
      <c r="GG377" s="50"/>
      <c r="GH377" s="50"/>
      <c r="GI377" s="50"/>
      <c r="GJ377" s="50"/>
      <c r="GK377" s="50"/>
      <c r="GL377" s="50"/>
      <c r="GM377" s="50"/>
      <c r="GN377" s="50"/>
      <c r="GO377" s="50"/>
      <c r="GP377" s="50"/>
      <c r="GQ377" s="50"/>
      <c r="GR377" s="50"/>
      <c r="GS377" s="50"/>
      <c r="GT377" s="50"/>
      <c r="GU377" s="50"/>
      <c r="GV377" s="50"/>
      <c r="GW377" s="50"/>
      <c r="GX377" s="50"/>
      <c r="GY377" s="50"/>
      <c r="GZ377" s="50"/>
      <c r="HA377" s="50"/>
      <c r="HB377" s="50"/>
      <c r="HC377" s="50"/>
      <c r="HD377" s="50"/>
      <c r="HE377" s="50"/>
      <c r="HF377" s="50"/>
      <c r="HG377" s="50"/>
      <c r="HH377" s="50"/>
      <c r="HI377" s="50"/>
      <c r="HJ377" s="50"/>
      <c r="HK377" s="50"/>
      <c r="HL377" s="50"/>
      <c r="HM377" s="50"/>
      <c r="HN377" s="50"/>
      <c r="HO377" s="50"/>
      <c r="HP377" s="50"/>
      <c r="HQ377" s="50"/>
      <c r="HR377" s="50"/>
      <c r="HS377" s="50"/>
      <c r="HT377" s="50"/>
      <c r="HU377" s="50"/>
      <c r="HV377" s="50"/>
      <c r="HW377" s="50"/>
      <c r="HX377" s="50"/>
      <c r="HY377" s="50"/>
      <c r="HZ377" s="50"/>
      <c r="IA377" s="50"/>
      <c r="IB377" s="50"/>
      <c r="IC377" s="50"/>
      <c r="ID377" s="50"/>
      <c r="IE377" s="50"/>
      <c r="IF377" s="50"/>
      <c r="IG377" s="50"/>
      <c r="IH377" s="50"/>
      <c r="II377" s="50"/>
      <c r="IJ377" s="50"/>
      <c r="IK377" s="50"/>
      <c r="IL377" s="50"/>
      <c r="IM377" s="50"/>
      <c r="IN377" s="50"/>
      <c r="IO377" s="50"/>
      <c r="IP377" s="50"/>
      <c r="IQ377" s="50"/>
      <c r="IR377" s="50"/>
      <c r="IS377" s="50"/>
      <c r="IT377" s="50"/>
      <c r="IU377" s="50"/>
      <c r="IV377" s="50"/>
      <c r="IW377" s="50"/>
      <c r="IX377" s="50"/>
      <c r="IY377" s="50"/>
      <c r="IZ377" s="50"/>
      <c r="JA377" s="50"/>
      <c r="JB377" s="50"/>
      <c r="JC377" s="50"/>
      <c r="JD377" s="50"/>
      <c r="JE377" s="50"/>
      <c r="JF377" s="50"/>
      <c r="JG377" s="50"/>
      <c r="JH377" s="50"/>
      <c r="JI377" s="50"/>
      <c r="JJ377" s="50"/>
      <c r="JK377" s="50"/>
      <c r="JL377" s="50"/>
      <c r="JM377" s="50"/>
      <c r="JN377" s="50"/>
      <c r="JO377" s="50"/>
      <c r="JP377" s="50"/>
      <c r="JQ377" s="50"/>
      <c r="JR377" s="50"/>
      <c r="JS377" s="50"/>
      <c r="JT377" s="50"/>
      <c r="JU377" s="50"/>
      <c r="JV377" s="50"/>
      <c r="JW377" s="50"/>
      <c r="JX377" s="50"/>
      <c r="JY377" s="50"/>
      <c r="JZ377" s="50"/>
      <c r="KA377" s="50"/>
      <c r="KB377" s="50"/>
      <c r="KC377" s="50"/>
      <c r="KD377" s="50"/>
      <c r="KE377" s="50"/>
      <c r="KF377" s="50"/>
      <c r="KG377" s="50"/>
      <c r="KH377" s="50"/>
      <c r="KI377" s="50"/>
      <c r="KJ377" s="50"/>
      <c r="KK377" s="50"/>
      <c r="KL377" s="50"/>
      <c r="KM377" s="50"/>
      <c r="KN377" s="50"/>
      <c r="KO377" s="50"/>
      <c r="KP377" s="50"/>
      <c r="KQ377" s="50"/>
      <c r="KR377" s="50"/>
      <c r="KS377" s="50"/>
      <c r="KT377" s="50"/>
      <c r="KU377" s="50"/>
      <c r="KV377" s="50"/>
      <c r="KW377" s="50"/>
      <c r="KX377" s="50"/>
      <c r="KY377" s="50"/>
      <c r="KZ377" s="50"/>
      <c r="LA377" s="50"/>
      <c r="LB377" s="50"/>
      <c r="LC377" s="50"/>
      <c r="LD377" s="50"/>
      <c r="LE377" s="50"/>
      <c r="LF377" s="50"/>
      <c r="LG377" s="50"/>
      <c r="LH377" s="50"/>
      <c r="LI377" s="50"/>
      <c r="LJ377" s="50"/>
      <c r="LK377" s="50"/>
      <c r="LL377" s="50"/>
      <c r="LM377" s="50"/>
      <c r="LN377" s="50"/>
      <c r="LO377" s="50"/>
      <c r="LP377" s="50"/>
      <c r="LQ377" s="50"/>
      <c r="LR377" s="50"/>
      <c r="LS377" s="50"/>
      <c r="LT377" s="50"/>
      <c r="LU377" s="50"/>
      <c r="LV377" s="50"/>
      <c r="LW377" s="50"/>
      <c r="LX377" s="50"/>
      <c r="LY377" s="50"/>
      <c r="LZ377" s="50"/>
      <c r="MA377" s="50"/>
      <c r="MB377" s="50"/>
      <c r="MC377" s="50"/>
      <c r="MD377" s="50"/>
      <c r="ME377" s="50"/>
      <c r="MF377" s="50"/>
      <c r="MG377" s="50"/>
      <c r="MH377" s="50"/>
      <c r="MI377" s="50"/>
      <c r="MJ377" s="50"/>
      <c r="MK377" s="50"/>
      <c r="ML377" s="50"/>
      <c r="MM377" s="50"/>
      <c r="MN377" s="50"/>
      <c r="MO377" s="50"/>
      <c r="MP377" s="50"/>
      <c r="MQ377" s="50"/>
      <c r="MR377" s="50"/>
      <c r="MS377" s="50"/>
      <c r="MT377" s="50"/>
      <c r="MU377" s="50"/>
      <c r="MV377" s="50"/>
      <c r="MW377" s="50"/>
      <c r="MX377" s="50"/>
      <c r="MY377" s="50"/>
      <c r="MZ377" s="50"/>
      <c r="NA377" s="50"/>
      <c r="NB377" s="50"/>
      <c r="NC377" s="50"/>
      <c r="ND377" s="50"/>
      <c r="NE377" s="50"/>
      <c r="NF377" s="50"/>
      <c r="NG377" s="50"/>
      <c r="NH377" s="50"/>
      <c r="NI377" s="50"/>
      <c r="NJ377" s="50"/>
      <c r="NK377" s="50"/>
      <c r="NL377" s="50"/>
      <c r="NM377" s="50"/>
      <c r="NN377" s="50"/>
      <c r="NO377" s="50"/>
      <c r="NP377" s="50"/>
      <c r="NQ377" s="50"/>
      <c r="NR377" s="50"/>
      <c r="NS377" s="50"/>
      <c r="NT377" s="50"/>
      <c r="NU377" s="50"/>
      <c r="NV377" s="50"/>
      <c r="NW377" s="50"/>
      <c r="NX377" s="50"/>
      <c r="NY377" s="50"/>
      <c r="NZ377" s="50"/>
      <c r="OA377" s="50"/>
      <c r="OB377" s="50"/>
      <c r="OC377" s="50"/>
      <c r="OD377" s="50"/>
      <c r="OE377" s="50"/>
      <c r="OF377" s="50"/>
      <c r="OG377" s="50"/>
      <c r="OH377" s="50"/>
      <c r="OI377" s="50"/>
      <c r="OJ377" s="50"/>
      <c r="OK377" s="50"/>
      <c r="OL377" s="50"/>
      <c r="OM377" s="50"/>
      <c r="ON377" s="50"/>
      <c r="OO377" s="50"/>
      <c r="OP377" s="50"/>
      <c r="OQ377" s="50"/>
      <c r="OR377" s="50"/>
      <c r="OS377" s="50"/>
      <c r="OT377" s="50"/>
      <c r="OU377" s="50"/>
      <c r="OV377" s="50"/>
      <c r="OW377" s="50"/>
      <c r="OX377" s="50"/>
      <c r="OY377" s="50"/>
      <c r="OZ377" s="50"/>
      <c r="PA377" s="50"/>
      <c r="PB377" s="50"/>
      <c r="PC377" s="50"/>
      <c r="PD377" s="50"/>
      <c r="PE377" s="50"/>
      <c r="PF377" s="50"/>
      <c r="PG377" s="50"/>
      <c r="PH377" s="50"/>
      <c r="PI377" s="50"/>
      <c r="PJ377" s="50"/>
      <c r="PK377" s="50"/>
      <c r="PL377" s="50"/>
      <c r="PM377" s="50"/>
      <c r="PN377" s="50"/>
      <c r="PO377" s="50"/>
      <c r="PP377" s="50"/>
      <c r="PQ377" s="50"/>
      <c r="PR377" s="50"/>
      <c r="PS377" s="50"/>
      <c r="PT377" s="50"/>
      <c r="PU377" s="50"/>
      <c r="PV377" s="50"/>
      <c r="PW377" s="50"/>
      <c r="PX377" s="50"/>
      <c r="PY377" s="50"/>
      <c r="PZ377" s="50"/>
      <c r="QA377" s="50"/>
      <c r="QB377" s="50"/>
      <c r="QC377" s="50"/>
      <c r="QD377" s="50"/>
      <c r="QE377" s="50"/>
      <c r="QF377" s="50"/>
      <c r="QG377" s="50"/>
      <c r="QH377" s="50"/>
      <c r="QI377" s="50"/>
      <c r="QJ377" s="50"/>
      <c r="QK377" s="50"/>
      <c r="QL377" s="50"/>
      <c r="QM377" s="50"/>
      <c r="QN377" s="50"/>
      <c r="QO377" s="50"/>
      <c r="QP377" s="50"/>
      <c r="QQ377" s="50"/>
      <c r="QR377" s="50"/>
      <c r="QS377" s="50"/>
      <c r="QT377" s="50"/>
      <c r="QU377" s="50"/>
      <c r="QV377" s="50"/>
      <c r="QW377" s="50"/>
      <c r="QX377" s="50"/>
      <c r="QY377" s="50"/>
      <c r="QZ377" s="50"/>
      <c r="RA377" s="50"/>
      <c r="RB377" s="50"/>
      <c r="RC377" s="50"/>
      <c r="RD377" s="50"/>
      <c r="RE377" s="50"/>
      <c r="RF377" s="50"/>
      <c r="RG377" s="50"/>
      <c r="RH377" s="50"/>
      <c r="RI377" s="50"/>
      <c r="RJ377" s="50"/>
      <c r="RK377" s="50"/>
      <c r="RL377" s="50"/>
      <c r="RM377" s="50"/>
      <c r="RN377" s="50"/>
      <c r="RO377" s="50"/>
      <c r="RP377" s="50"/>
      <c r="RQ377" s="50"/>
      <c r="RR377" s="50"/>
      <c r="RS377" s="50"/>
      <c r="RT377" s="50"/>
      <c r="RU377" s="50"/>
      <c r="RV377" s="50"/>
      <c r="RW377" s="50"/>
      <c r="RX377" s="50"/>
      <c r="RY377" s="50"/>
      <c r="RZ377" s="50"/>
      <c r="SA377" s="50"/>
      <c r="SB377" s="50"/>
      <c r="SC377" s="50"/>
      <c r="SD377" s="50"/>
      <c r="SE377" s="50"/>
      <c r="SF377" s="50"/>
      <c r="SG377" s="50"/>
      <c r="SH377" s="50"/>
      <c r="SI377" s="50"/>
      <c r="SJ377" s="50"/>
      <c r="SK377" s="50"/>
      <c r="SL377" s="50"/>
      <c r="SM377" s="50"/>
      <c r="SN377" s="50"/>
      <c r="SO377" s="50"/>
      <c r="SP377" s="50"/>
      <c r="SQ377" s="50"/>
      <c r="SR377" s="50"/>
      <c r="SS377" s="50"/>
      <c r="ST377" s="50"/>
      <c r="SU377" s="50"/>
      <c r="SV377" s="50"/>
      <c r="SW377" s="50"/>
      <c r="SX377" s="50"/>
      <c r="SY377" s="50"/>
      <c r="SZ377" s="50"/>
      <c r="TA377" s="50"/>
      <c r="TB377" s="50"/>
      <c r="TC377" s="50"/>
      <c r="TD377" s="50"/>
      <c r="TE377" s="50"/>
      <c r="TF377" s="50"/>
      <c r="TG377" s="50"/>
      <c r="TH377" s="50"/>
      <c r="TI377" s="50"/>
      <c r="TJ377" s="50"/>
      <c r="TK377" s="50"/>
      <c r="TL377" s="50"/>
      <c r="TM377" s="50"/>
      <c r="TN377" s="50"/>
      <c r="TO377" s="50"/>
      <c r="TP377" s="50"/>
      <c r="TQ377" s="50"/>
      <c r="TR377" s="50"/>
      <c r="TS377" s="50"/>
      <c r="TT377" s="50"/>
      <c r="TU377" s="50"/>
      <c r="TV377" s="50"/>
      <c r="TW377" s="50"/>
      <c r="TX377" s="50"/>
      <c r="TY377" s="50"/>
      <c r="TZ377" s="50"/>
      <c r="UA377" s="50"/>
      <c r="UB377" s="50"/>
      <c r="UC377" s="50"/>
      <c r="UD377" s="50"/>
      <c r="UE377" s="50"/>
      <c r="UF377" s="50"/>
      <c r="UG377" s="50"/>
      <c r="UH377" s="50"/>
      <c r="UI377" s="50"/>
      <c r="UJ377" s="50"/>
      <c r="UK377" s="50"/>
      <c r="UL377" s="50"/>
      <c r="UM377" s="50"/>
      <c r="UN377" s="50"/>
      <c r="UO377" s="50"/>
      <c r="UP377" s="50"/>
      <c r="UQ377" s="50"/>
      <c r="UR377" s="50"/>
      <c r="US377" s="50"/>
      <c r="UT377" s="50"/>
      <c r="UU377" s="50"/>
      <c r="UV377" s="50"/>
      <c r="UW377" s="50"/>
      <c r="UX377" s="50"/>
      <c r="UY377" s="50"/>
      <c r="UZ377" s="50"/>
      <c r="VA377" s="50"/>
      <c r="VB377" s="50"/>
      <c r="VC377" s="50"/>
      <c r="VD377" s="50"/>
      <c r="VE377" s="50"/>
      <c r="VF377" s="50"/>
      <c r="VG377" s="50"/>
      <c r="VH377" s="50"/>
      <c r="VI377" s="50"/>
      <c r="VJ377" s="50"/>
      <c r="VK377" s="50"/>
      <c r="VL377" s="50"/>
      <c r="VM377" s="50"/>
      <c r="VN377" s="50"/>
      <c r="VO377" s="50"/>
      <c r="VP377" s="50"/>
      <c r="VQ377" s="50"/>
      <c r="VR377" s="50"/>
      <c r="VS377" s="50"/>
      <c r="VT377" s="50"/>
      <c r="VU377" s="50"/>
      <c r="VV377" s="50"/>
      <c r="VW377" s="50"/>
      <c r="VX377" s="50"/>
      <c r="VY377" s="50"/>
      <c r="VZ377" s="50"/>
      <c r="WA377" s="50"/>
      <c r="WB377" s="50"/>
      <c r="WC377" s="50"/>
      <c r="WD377" s="50"/>
      <c r="WE377" s="50"/>
      <c r="WF377" s="50"/>
      <c r="WG377" s="50"/>
      <c r="WH377" s="50"/>
      <c r="WI377" s="50"/>
      <c r="WJ377" s="50"/>
      <c r="WK377" s="50"/>
      <c r="WL377" s="50"/>
      <c r="WM377" s="50"/>
      <c r="WN377" s="50"/>
      <c r="WO377" s="50"/>
      <c r="WP377" s="50"/>
      <c r="WQ377" s="50"/>
      <c r="WR377" s="50"/>
      <c r="WS377" s="50"/>
      <c r="WT377" s="50"/>
      <c r="WU377" s="50"/>
      <c r="WV377" s="50"/>
      <c r="WW377" s="50"/>
      <c r="WX377" s="50"/>
      <c r="WY377" s="50"/>
      <c r="WZ377" s="50"/>
      <c r="XA377" s="50"/>
      <c r="XB377" s="50"/>
      <c r="XC377" s="50"/>
      <c r="XD377" s="50"/>
      <c r="XE377" s="50"/>
      <c r="XF377" s="50"/>
      <c r="XG377" s="50"/>
      <c r="XH377" s="50"/>
      <c r="XI377" s="50"/>
      <c r="XJ377" s="50"/>
      <c r="XK377" s="50"/>
      <c r="XL377" s="50"/>
      <c r="XM377" s="50"/>
      <c r="XN377" s="50"/>
      <c r="XO377" s="50"/>
      <c r="XP377" s="50"/>
      <c r="XQ377" s="50"/>
      <c r="XR377" s="50"/>
      <c r="XS377" s="50"/>
      <c r="XT377" s="50"/>
      <c r="XU377" s="50"/>
      <c r="XV377" s="50"/>
      <c r="XW377" s="50"/>
      <c r="XX377" s="50"/>
      <c r="XY377" s="50"/>
      <c r="XZ377" s="50"/>
      <c r="YA377" s="50"/>
      <c r="YB377" s="50"/>
      <c r="YC377" s="50"/>
      <c r="YD377" s="50"/>
      <c r="YE377" s="50"/>
      <c r="YF377" s="50"/>
      <c r="YG377" s="50"/>
      <c r="YH377" s="50"/>
      <c r="YI377" s="50"/>
      <c r="YJ377" s="50"/>
      <c r="YK377" s="50"/>
      <c r="YL377" s="50"/>
      <c r="YM377" s="50"/>
      <c r="YN377" s="50"/>
      <c r="YO377" s="50"/>
      <c r="YP377" s="50"/>
      <c r="YQ377" s="50"/>
      <c r="YR377" s="50"/>
      <c r="YS377" s="50"/>
      <c r="YT377" s="50"/>
      <c r="YU377" s="50"/>
      <c r="YV377" s="50"/>
      <c r="YW377" s="50"/>
      <c r="YX377" s="50"/>
      <c r="YY377" s="50"/>
      <c r="YZ377" s="50"/>
      <c r="ZA377" s="50"/>
      <c r="ZB377" s="50"/>
      <c r="ZC377" s="50"/>
      <c r="ZD377" s="50"/>
      <c r="ZE377" s="50"/>
      <c r="ZF377" s="50"/>
      <c r="ZG377" s="50"/>
      <c r="ZH377" s="50"/>
      <c r="ZI377" s="50"/>
      <c r="ZJ377" s="50"/>
      <c r="ZK377" s="50"/>
      <c r="ZL377" s="50"/>
      <c r="ZM377" s="50"/>
      <c r="ZN377" s="50"/>
      <c r="ZO377" s="50"/>
      <c r="ZP377" s="50"/>
      <c r="ZQ377" s="50"/>
      <c r="ZR377" s="50"/>
      <c r="ZS377" s="50"/>
      <c r="ZT377" s="50"/>
      <c r="ZU377" s="50"/>
      <c r="ZV377" s="50"/>
      <c r="ZW377" s="50"/>
      <c r="ZX377" s="50"/>
      <c r="ZY377" s="50"/>
      <c r="ZZ377" s="50"/>
      <c r="AAA377" s="50"/>
      <c r="AAB377" s="50"/>
      <c r="AAC377" s="50"/>
      <c r="AAD377" s="50"/>
      <c r="AAE377" s="50"/>
      <c r="AAF377" s="50"/>
      <c r="AAG377" s="50"/>
      <c r="AAH377" s="50"/>
      <c r="AAI377" s="50"/>
      <c r="AAJ377" s="50"/>
      <c r="AAK377" s="50"/>
      <c r="AAL377" s="50"/>
      <c r="AAM377" s="50"/>
      <c r="AAN377" s="50"/>
      <c r="AAO377" s="50"/>
      <c r="AAP377" s="50"/>
      <c r="AAQ377" s="50"/>
      <c r="AAR377" s="50"/>
      <c r="AAS377" s="50"/>
      <c r="AAT377" s="50"/>
      <c r="AAU377" s="50"/>
      <c r="AAV377" s="50"/>
      <c r="AAW377" s="50"/>
      <c r="AAX377" s="50"/>
      <c r="AAY377" s="50"/>
      <c r="AAZ377" s="50"/>
      <c r="ABA377" s="50"/>
      <c r="ABB377" s="50"/>
      <c r="ABC377" s="50"/>
      <c r="ABD377" s="50"/>
      <c r="ABE377" s="50"/>
      <c r="ABF377" s="50"/>
      <c r="ABG377" s="50"/>
      <c r="ABH377" s="50"/>
      <c r="ABI377" s="50"/>
      <c r="ABJ377" s="50"/>
      <c r="ABK377" s="50"/>
      <c r="ABL377" s="50"/>
      <c r="ABM377" s="50"/>
      <c r="ABN377" s="50"/>
      <c r="ABO377" s="50"/>
      <c r="ABP377" s="50"/>
      <c r="ABQ377" s="50"/>
      <c r="ABR377" s="50"/>
      <c r="ABS377" s="50"/>
      <c r="ABT377" s="50"/>
      <c r="ABU377" s="50"/>
      <c r="ABV377" s="50"/>
      <c r="ABW377" s="50"/>
      <c r="ABX377" s="50"/>
      <c r="ABY377" s="50"/>
      <c r="ABZ377" s="50"/>
      <c r="ACA377" s="50"/>
      <c r="ACB377" s="50"/>
      <c r="ACC377" s="50"/>
      <c r="ACD377" s="50"/>
      <c r="ACE377" s="50"/>
      <c r="ACF377" s="50"/>
      <c r="ACG377" s="50"/>
      <c r="ACH377" s="50"/>
      <c r="ACI377" s="50"/>
      <c r="ACJ377" s="50"/>
      <c r="ACK377" s="50"/>
      <c r="ACL377" s="50"/>
      <c r="ACM377" s="50"/>
      <c r="ACN377" s="50"/>
      <c r="ACO377" s="50"/>
      <c r="ACP377" s="50"/>
      <c r="ACQ377" s="50"/>
      <c r="ACR377" s="50"/>
      <c r="ACS377" s="50"/>
      <c r="ACT377" s="50"/>
      <c r="ACU377" s="50"/>
      <c r="ACV377" s="50"/>
      <c r="ACW377" s="50"/>
      <c r="ACX377" s="50"/>
      <c r="ACY377" s="50"/>
      <c r="ACZ377" s="50"/>
      <c r="ADA377" s="50"/>
      <c r="ADB377" s="50"/>
      <c r="ADC377" s="50"/>
      <c r="ADD377" s="50"/>
      <c r="ADE377" s="50"/>
      <c r="ADF377" s="50"/>
      <c r="ADG377" s="50"/>
      <c r="ADH377" s="50"/>
      <c r="ADI377" s="50"/>
      <c r="ADJ377" s="50"/>
      <c r="ADK377" s="50"/>
      <c r="ADL377" s="50"/>
      <c r="ADM377" s="50"/>
      <c r="ADN377" s="50"/>
      <c r="ADO377" s="50"/>
      <c r="ADP377" s="50"/>
      <c r="ADQ377" s="50"/>
      <c r="ADR377" s="50"/>
      <c r="ADS377" s="50"/>
      <c r="ADT377" s="50"/>
      <c r="ADU377" s="50"/>
      <c r="ADV377" s="50"/>
      <c r="ADW377" s="50"/>
      <c r="ADX377" s="50"/>
      <c r="ADY377" s="50"/>
      <c r="ADZ377" s="50"/>
      <c r="AEA377" s="50"/>
      <c r="AEB377" s="50"/>
      <c r="AEC377" s="50"/>
      <c r="AED377" s="50"/>
      <c r="AEE377" s="50"/>
      <c r="AEF377" s="50"/>
      <c r="AEG377" s="50"/>
      <c r="AEH377" s="50"/>
      <c r="AEI377" s="50"/>
      <c r="AEJ377" s="50"/>
      <c r="AEK377" s="50"/>
      <c r="AEL377" s="50"/>
      <c r="AEM377" s="50"/>
      <c r="AEN377" s="50"/>
      <c r="AEO377" s="50"/>
      <c r="AEP377" s="50"/>
      <c r="AEQ377" s="50"/>
      <c r="AER377" s="50"/>
      <c r="AES377" s="50"/>
      <c r="AET377" s="50"/>
      <c r="AEU377" s="50"/>
      <c r="AEV377" s="50"/>
      <c r="AEW377" s="50"/>
      <c r="AEX377" s="50"/>
      <c r="AEY377" s="50"/>
      <c r="AEZ377" s="50"/>
      <c r="AFA377" s="50"/>
      <c r="AFB377" s="50"/>
      <c r="AFC377" s="50"/>
      <c r="AFD377" s="50"/>
      <c r="AFE377" s="50"/>
      <c r="AFF377" s="50"/>
      <c r="AFG377" s="50"/>
      <c r="AFH377" s="50"/>
      <c r="AFI377" s="50"/>
      <c r="AFJ377" s="50"/>
      <c r="AFK377" s="50"/>
      <c r="AFL377" s="50"/>
      <c r="AFM377" s="50"/>
      <c r="AFN377" s="50"/>
      <c r="AFO377" s="50"/>
      <c r="AFP377" s="50"/>
      <c r="AFQ377" s="50"/>
      <c r="AFR377" s="50"/>
      <c r="AFS377" s="50"/>
      <c r="AFT377" s="50"/>
      <c r="AFU377" s="50"/>
      <c r="AFV377" s="50"/>
      <c r="AFW377" s="50"/>
      <c r="AFX377" s="50"/>
      <c r="AFY377" s="50"/>
      <c r="AFZ377" s="50"/>
      <c r="AGA377" s="50"/>
      <c r="AGB377" s="50"/>
      <c r="AGC377" s="50"/>
      <c r="AGD377" s="50"/>
      <c r="AGE377" s="50"/>
      <c r="AGF377" s="50"/>
      <c r="AGG377" s="50"/>
      <c r="AGH377" s="50"/>
      <c r="AGI377" s="50"/>
      <c r="AGJ377" s="50"/>
      <c r="AGK377" s="50"/>
      <c r="AGL377" s="50"/>
      <c r="AGM377" s="50"/>
      <c r="AGN377" s="50"/>
      <c r="AGO377" s="50"/>
      <c r="AGP377" s="50"/>
      <c r="AGQ377" s="50"/>
      <c r="AGR377" s="50"/>
      <c r="AGS377" s="50"/>
      <c r="AGT377" s="50"/>
      <c r="AGU377" s="50"/>
      <c r="AGV377" s="50"/>
      <c r="AGW377" s="50"/>
      <c r="AGX377" s="50"/>
      <c r="AGY377" s="50"/>
      <c r="AGZ377" s="50"/>
      <c r="AHA377" s="50"/>
      <c r="AHB377" s="50"/>
      <c r="AHC377" s="50"/>
      <c r="AHD377" s="50"/>
      <c r="AHE377" s="50"/>
      <c r="AHF377" s="50"/>
      <c r="AHG377" s="50"/>
      <c r="AHH377" s="50"/>
      <c r="AHI377" s="50"/>
      <c r="AHJ377" s="50"/>
      <c r="AHK377" s="50"/>
      <c r="AHL377" s="50"/>
      <c r="AHM377" s="50"/>
      <c r="AHN377" s="50"/>
      <c r="AHO377" s="50"/>
      <c r="AHP377" s="50"/>
      <c r="AHQ377" s="50"/>
      <c r="AHR377" s="50"/>
      <c r="AHS377" s="50"/>
      <c r="AHT377" s="50"/>
      <c r="AHU377" s="50"/>
      <c r="AHV377" s="50"/>
      <c r="AHW377" s="50"/>
      <c r="AHX377" s="50"/>
      <c r="AHY377" s="50"/>
      <c r="AHZ377" s="50"/>
      <c r="AIA377" s="50"/>
      <c r="AIB377" s="50"/>
      <c r="AIC377" s="50"/>
      <c r="AID377" s="50"/>
      <c r="AIE377" s="50"/>
      <c r="AIF377" s="50"/>
      <c r="AIG377" s="50"/>
      <c r="AIH377" s="50"/>
      <c r="AII377" s="50"/>
      <c r="AIJ377" s="50"/>
      <c r="AIK377" s="50"/>
      <c r="AIL377" s="50"/>
      <c r="AIM377" s="50"/>
      <c r="AIN377" s="50"/>
      <c r="AIO377" s="50"/>
      <c r="AIP377" s="50"/>
      <c r="AIQ377" s="50"/>
      <c r="AIR377" s="50"/>
      <c r="AIS377" s="50"/>
      <c r="AIT377" s="50"/>
      <c r="AIU377" s="50"/>
      <c r="AIV377" s="50"/>
      <c r="AIW377" s="50"/>
      <c r="AIX377" s="50"/>
      <c r="AIY377" s="50"/>
      <c r="AIZ377" s="50"/>
      <c r="AJA377" s="50"/>
      <c r="AJB377" s="50"/>
      <c r="AJC377" s="50"/>
      <c r="AJD377" s="50"/>
      <c r="AJE377" s="50"/>
      <c r="AJF377" s="50"/>
      <c r="AJG377" s="50"/>
      <c r="AJH377" s="50"/>
      <c r="AJI377" s="50"/>
      <c r="AJJ377" s="50"/>
      <c r="AJK377" s="50"/>
      <c r="AJL377" s="50"/>
      <c r="AJM377" s="50"/>
      <c r="AJN377" s="50"/>
      <c r="AJO377" s="50"/>
      <c r="AJP377" s="50"/>
      <c r="AJQ377" s="50"/>
      <c r="AJR377" s="50"/>
      <c r="AJS377" s="50"/>
      <c r="AJT377" s="50"/>
      <c r="AJU377" s="50"/>
      <c r="AJV377" s="50"/>
      <c r="AJW377" s="50"/>
      <c r="AJX377" s="50"/>
      <c r="AJY377" s="50"/>
      <c r="AJZ377" s="50"/>
      <c r="AKA377" s="50"/>
      <c r="AKB377" s="50"/>
      <c r="AKC377" s="50"/>
      <c r="AKD377" s="50"/>
      <c r="AKE377" s="50"/>
      <c r="AKF377" s="50"/>
      <c r="AKG377" s="50"/>
      <c r="AKH377" s="50"/>
      <c r="AKI377" s="50"/>
      <c r="AKJ377" s="50"/>
      <c r="AKK377" s="50"/>
      <c r="AKL377" s="50"/>
      <c r="AKM377" s="50"/>
      <c r="AKN377" s="50"/>
      <c r="AKO377" s="50"/>
      <c r="AKP377" s="50"/>
      <c r="AKQ377" s="50"/>
      <c r="AKR377" s="50"/>
      <c r="AKS377" s="50"/>
      <c r="AKT377" s="50"/>
      <c r="AKU377" s="50"/>
      <c r="AKV377" s="50"/>
      <c r="AKW377" s="50"/>
      <c r="AKX377" s="50"/>
      <c r="AKY377" s="50"/>
      <c r="AKZ377" s="50"/>
      <c r="ALA377" s="50"/>
      <c r="ALB377" s="50"/>
      <c r="ALC377" s="50"/>
      <c r="ALD377" s="50"/>
      <c r="ALE377" s="50"/>
      <c r="ALF377" s="50"/>
      <c r="ALG377" s="50"/>
      <c r="ALH377" s="50"/>
      <c r="ALI377" s="50"/>
      <c r="ALJ377" s="50"/>
      <c r="ALK377" s="50"/>
      <c r="ALL377" s="50"/>
      <c r="ALM377" s="50"/>
      <c r="ALN377" s="50"/>
      <c r="ALO377" s="50"/>
      <c r="ALP377" s="50"/>
      <c r="ALQ377" s="50"/>
      <c r="ALR377" s="50"/>
      <c r="ALS377" s="50"/>
      <c r="ALT377" s="50"/>
      <c r="ALU377" s="50"/>
      <c r="ALV377" s="50"/>
      <c r="ALW377" s="50"/>
      <c r="ALX377" s="50"/>
      <c r="ALY377" s="50"/>
      <c r="ALZ377" s="50"/>
      <c r="AMA377" s="50"/>
      <c r="AMB377" s="50"/>
      <c r="AMC377" s="50"/>
      <c r="AMD377" s="50"/>
      <c r="AME377" s="50"/>
      <c r="AMF377" s="50"/>
      <c r="AMG377" s="50"/>
      <c r="AMH377" s="50"/>
      <c r="AMI377" s="50"/>
      <c r="AMJ377" s="50"/>
      <c r="AMK377" s="50"/>
      <c r="AML377" s="50"/>
      <c r="AMM377" s="50"/>
      <c r="AMN377" s="50"/>
      <c r="AMO377" s="50"/>
      <c r="AMP377" s="50"/>
      <c r="AMQ377" s="50"/>
      <c r="AMR377" s="50"/>
      <c r="AMS377" s="50"/>
      <c r="AMT377" s="50"/>
      <c r="AMU377" s="50"/>
      <c r="AMV377" s="50"/>
      <c r="AMW377" s="50"/>
      <c r="AMX377" s="50"/>
      <c r="AMY377" s="50"/>
      <c r="AMZ377" s="50"/>
      <c r="ANA377" s="50"/>
      <c r="ANB377" s="50"/>
      <c r="ANC377" s="50"/>
      <c r="AND377" s="50"/>
      <c r="ANE377" s="50"/>
      <c r="ANF377" s="50"/>
      <c r="ANG377" s="50"/>
      <c r="ANH377" s="50"/>
      <c r="ANI377" s="50"/>
      <c r="ANJ377" s="50"/>
      <c r="ANK377" s="50"/>
      <c r="ANL377" s="50"/>
      <c r="ANM377" s="50"/>
      <c r="ANN377" s="50"/>
      <c r="ANO377" s="50"/>
      <c r="ANP377" s="50"/>
      <c r="ANQ377" s="50"/>
      <c r="ANR377" s="50"/>
      <c r="ANS377" s="50"/>
      <c r="ANT377" s="50"/>
      <c r="ANU377" s="50"/>
      <c r="ANV377" s="50"/>
      <c r="ANW377" s="50"/>
      <c r="ANX377" s="50"/>
      <c r="ANY377" s="50"/>
      <c r="ANZ377" s="50"/>
      <c r="AOA377" s="50"/>
      <c r="AOB377" s="50"/>
      <c r="AOC377" s="50"/>
      <c r="AOD377" s="50"/>
      <c r="AOE377" s="50"/>
      <c r="AOF377" s="50"/>
      <c r="AOG377" s="50"/>
      <c r="AOH377" s="50"/>
      <c r="AOI377" s="50"/>
      <c r="AOJ377" s="50"/>
      <c r="AOK377" s="50"/>
      <c r="AOL377" s="50"/>
      <c r="AOM377" s="50"/>
      <c r="AON377" s="50"/>
      <c r="AOO377" s="50"/>
      <c r="AOP377" s="50"/>
      <c r="AOQ377" s="50"/>
      <c r="AOR377" s="50"/>
      <c r="AOS377" s="50"/>
      <c r="AOT377" s="50"/>
      <c r="AOU377" s="50"/>
      <c r="AOV377" s="50"/>
      <c r="AOW377" s="50"/>
      <c r="AOX377" s="50"/>
      <c r="AOY377" s="50"/>
      <c r="AOZ377" s="50"/>
      <c r="APA377" s="50"/>
      <c r="APB377" s="50"/>
      <c r="APC377" s="50"/>
      <c r="APD377" s="50"/>
      <c r="APE377" s="50"/>
      <c r="APF377" s="50"/>
      <c r="APG377" s="50"/>
      <c r="APH377" s="50"/>
      <c r="API377" s="50"/>
      <c r="APJ377" s="50"/>
      <c r="APK377" s="50"/>
      <c r="APL377" s="50"/>
      <c r="APM377" s="50"/>
      <c r="APN377" s="50"/>
      <c r="APO377" s="50"/>
      <c r="APP377" s="50"/>
      <c r="APQ377" s="50"/>
      <c r="APR377" s="50"/>
      <c r="APS377" s="50"/>
      <c r="APT377" s="50"/>
      <c r="APU377" s="50"/>
      <c r="APV377" s="50"/>
      <c r="APW377" s="50"/>
      <c r="APX377" s="50"/>
      <c r="APY377" s="50"/>
      <c r="APZ377" s="50"/>
      <c r="AQA377" s="50"/>
      <c r="AQB377" s="50"/>
      <c r="AQC377" s="50"/>
      <c r="AQD377" s="50"/>
      <c r="AQE377" s="50"/>
      <c r="AQF377" s="50"/>
      <c r="AQG377" s="50"/>
      <c r="AQH377" s="50"/>
      <c r="AQI377" s="50"/>
      <c r="AQJ377" s="50"/>
      <c r="AQK377" s="50"/>
      <c r="AQL377" s="50"/>
      <c r="AQM377" s="50"/>
      <c r="AQN377" s="50"/>
      <c r="AQO377" s="50"/>
      <c r="AQP377" s="50"/>
      <c r="AQQ377" s="50"/>
      <c r="AQR377" s="50"/>
      <c r="AQS377" s="50"/>
      <c r="AQT377" s="50"/>
      <c r="AQU377" s="50"/>
      <c r="AQV377" s="50"/>
      <c r="AQW377" s="50"/>
      <c r="AQX377" s="50"/>
      <c r="AQY377" s="50"/>
      <c r="AQZ377" s="50"/>
      <c r="ARA377" s="50"/>
      <c r="ARB377" s="50"/>
      <c r="ARC377" s="50"/>
      <c r="ARD377" s="50"/>
      <c r="ARE377" s="50"/>
      <c r="ARF377" s="50"/>
      <c r="ARG377" s="50"/>
      <c r="ARH377" s="50"/>
      <c r="ARI377" s="50"/>
      <c r="ARJ377" s="50"/>
      <c r="ARK377" s="50"/>
      <c r="ARL377" s="50"/>
      <c r="ARM377" s="50"/>
      <c r="ARN377" s="50"/>
      <c r="ARO377" s="50"/>
      <c r="ARP377" s="50"/>
      <c r="ARQ377" s="50"/>
      <c r="ARR377" s="50"/>
      <c r="ARS377" s="50"/>
      <c r="ART377" s="50"/>
      <c r="ARU377" s="50"/>
      <c r="ARV377" s="50"/>
      <c r="ARW377" s="50"/>
      <c r="ARX377" s="50"/>
      <c r="ARY377" s="50"/>
      <c r="ARZ377" s="50"/>
      <c r="ASA377" s="50"/>
      <c r="ASB377" s="50"/>
      <c r="ASC377" s="50"/>
      <c r="ASD377" s="50"/>
      <c r="ASE377" s="50"/>
      <c r="ASF377" s="50"/>
      <c r="ASG377" s="50"/>
      <c r="ASH377" s="50"/>
      <c r="ASI377" s="50"/>
      <c r="ASJ377" s="50"/>
      <c r="ASK377" s="50"/>
      <c r="ASL377" s="50"/>
      <c r="ASM377" s="50"/>
      <c r="ASN377" s="50"/>
      <c r="ASO377" s="50"/>
      <c r="ASP377" s="50"/>
      <c r="ASQ377" s="50"/>
      <c r="ASR377" s="50"/>
      <c r="ASS377" s="50"/>
      <c r="AST377" s="50"/>
      <c r="ASU377" s="50"/>
      <c r="ASV377" s="50"/>
      <c r="ASW377" s="50"/>
      <c r="ASX377" s="50"/>
      <c r="ASY377" s="50"/>
      <c r="ASZ377" s="50"/>
      <c r="ATA377" s="50"/>
      <c r="ATB377" s="50"/>
      <c r="ATC377" s="50"/>
      <c r="ATD377" s="50"/>
      <c r="ATE377" s="50"/>
      <c r="ATF377" s="50"/>
      <c r="ATG377" s="50"/>
      <c r="ATH377" s="50"/>
      <c r="ATI377" s="50"/>
      <c r="ATJ377" s="50"/>
      <c r="ATK377" s="50"/>
      <c r="ATL377" s="50"/>
      <c r="ATM377" s="50"/>
      <c r="ATN377" s="50"/>
      <c r="ATO377" s="50"/>
      <c r="ATP377" s="50"/>
      <c r="ATQ377" s="50"/>
      <c r="ATR377" s="50"/>
      <c r="ATS377" s="50"/>
      <c r="ATT377" s="50"/>
      <c r="ATU377" s="50"/>
      <c r="ATV377" s="50"/>
      <c r="ATW377" s="50"/>
      <c r="ATX377" s="50"/>
      <c r="ATY377" s="50"/>
      <c r="ATZ377" s="50"/>
      <c r="AUA377" s="50"/>
      <c r="AUB377" s="50"/>
      <c r="AUC377" s="50"/>
      <c r="AUD377" s="50"/>
      <c r="AUE377" s="50"/>
      <c r="AUF377" s="50"/>
      <c r="AUG377" s="50"/>
      <c r="AUH377" s="50"/>
      <c r="AUI377" s="50"/>
      <c r="AUJ377" s="50"/>
      <c r="AUK377" s="50"/>
      <c r="AUL377" s="50"/>
      <c r="AUM377" s="50"/>
      <c r="AUN377" s="50"/>
      <c r="AUO377" s="50"/>
      <c r="AUP377" s="50"/>
      <c r="AUQ377" s="50"/>
      <c r="AUR377" s="50"/>
      <c r="AUS377" s="50"/>
      <c r="AUT377" s="50"/>
      <c r="AUU377" s="50"/>
      <c r="AUV377" s="50"/>
      <c r="AUW377" s="50"/>
      <c r="AUX377" s="50"/>
      <c r="AUY377" s="50"/>
      <c r="AUZ377" s="50"/>
      <c r="AVA377" s="50"/>
      <c r="AVB377" s="50"/>
      <c r="AVC377" s="50"/>
      <c r="AVD377" s="50"/>
      <c r="AVE377" s="50"/>
      <c r="AVF377" s="50"/>
      <c r="AVG377" s="50"/>
      <c r="AVH377" s="50"/>
      <c r="AVI377" s="50"/>
      <c r="AVJ377" s="50"/>
      <c r="AVK377" s="50"/>
      <c r="AVL377" s="50"/>
      <c r="AVM377" s="50"/>
      <c r="AVN377" s="50"/>
      <c r="AVO377" s="50"/>
      <c r="AVP377" s="50"/>
      <c r="AVQ377" s="50"/>
      <c r="AVR377" s="50"/>
      <c r="AVS377" s="50"/>
      <c r="AVT377" s="50"/>
      <c r="AVU377" s="50"/>
      <c r="AVV377" s="50"/>
      <c r="AVW377" s="50"/>
      <c r="AVX377" s="50"/>
      <c r="AVY377" s="50"/>
      <c r="AVZ377" s="50"/>
      <c r="AWA377" s="50"/>
      <c r="AWB377" s="50"/>
      <c r="AWC377" s="50"/>
      <c r="AWD377" s="50"/>
      <c r="AWE377" s="50"/>
      <c r="AWF377" s="50"/>
      <c r="AWG377" s="50"/>
      <c r="AWH377" s="50"/>
      <c r="AWI377" s="50"/>
      <c r="AWJ377" s="50"/>
      <c r="AWK377" s="50"/>
      <c r="AWL377" s="50"/>
      <c r="AWM377" s="50"/>
      <c r="AWN377" s="50"/>
      <c r="AWO377" s="50"/>
      <c r="AWP377" s="50"/>
      <c r="AWQ377" s="50"/>
      <c r="AWR377" s="50"/>
      <c r="AWS377" s="50"/>
      <c r="AWT377" s="50"/>
      <c r="AWU377" s="50"/>
      <c r="AWV377" s="50"/>
      <c r="AWW377" s="50"/>
      <c r="AWX377" s="50"/>
      <c r="AWY377" s="50"/>
      <c r="AWZ377" s="50"/>
      <c r="AXA377" s="50"/>
      <c r="AXB377" s="50"/>
      <c r="AXC377" s="50"/>
      <c r="AXD377" s="50"/>
      <c r="AXE377" s="50"/>
      <c r="AXF377" s="50"/>
      <c r="AXG377" s="50"/>
      <c r="AXH377" s="50"/>
      <c r="AXI377" s="50"/>
      <c r="AXJ377" s="50"/>
      <c r="AXK377" s="50"/>
      <c r="AXL377" s="50"/>
      <c r="AXM377" s="50"/>
      <c r="AXN377" s="50"/>
      <c r="AXO377" s="50"/>
      <c r="AXP377" s="50"/>
      <c r="AXQ377" s="50"/>
      <c r="AXR377" s="50"/>
      <c r="AXS377" s="50"/>
      <c r="AXT377" s="50"/>
      <c r="AXU377" s="50"/>
      <c r="AXV377" s="50"/>
      <c r="AXW377" s="50"/>
      <c r="AXX377" s="50"/>
      <c r="AXY377" s="50"/>
      <c r="AXZ377" s="50"/>
      <c r="AYA377" s="50"/>
      <c r="AYB377" s="50"/>
      <c r="AYC377" s="50"/>
      <c r="AYD377" s="50"/>
      <c r="AYE377" s="50"/>
      <c r="AYF377" s="50"/>
      <c r="AYG377" s="50"/>
      <c r="AYH377" s="50"/>
      <c r="AYI377" s="50"/>
      <c r="AYJ377" s="50"/>
      <c r="AYK377" s="50"/>
      <c r="AYL377" s="50"/>
      <c r="AYM377" s="50"/>
      <c r="AYN377" s="50"/>
      <c r="AYO377" s="50"/>
      <c r="AYP377" s="50"/>
      <c r="AYQ377" s="50"/>
      <c r="AYR377" s="50"/>
      <c r="AYS377" s="50"/>
      <c r="AYT377" s="50"/>
      <c r="AYU377" s="50"/>
      <c r="AYV377" s="50"/>
      <c r="AYW377" s="50"/>
      <c r="AYX377" s="50"/>
      <c r="AYY377" s="50"/>
      <c r="AYZ377" s="50"/>
      <c r="AZA377" s="50"/>
      <c r="AZB377" s="50"/>
      <c r="AZC377" s="50"/>
      <c r="AZD377" s="50"/>
      <c r="AZE377" s="50"/>
      <c r="AZF377" s="50"/>
      <c r="AZG377" s="50"/>
      <c r="AZH377" s="50"/>
      <c r="AZI377" s="50"/>
      <c r="AZJ377" s="50"/>
      <c r="AZK377" s="50"/>
      <c r="AZL377" s="50"/>
      <c r="AZM377" s="50"/>
      <c r="AZN377" s="50"/>
      <c r="AZO377" s="50"/>
      <c r="AZP377" s="50"/>
      <c r="AZQ377" s="50"/>
      <c r="AZR377" s="50"/>
      <c r="AZS377" s="50"/>
      <c r="AZT377" s="50"/>
      <c r="AZU377" s="50"/>
      <c r="AZV377" s="50"/>
      <c r="AZW377" s="50"/>
      <c r="AZX377" s="50"/>
      <c r="AZY377" s="50"/>
      <c r="AZZ377" s="50"/>
      <c r="BAA377" s="50"/>
      <c r="BAB377" s="50"/>
      <c r="BAC377" s="50"/>
      <c r="BAD377" s="50"/>
      <c r="BAE377" s="50"/>
      <c r="BAF377" s="50"/>
      <c r="BAG377" s="50"/>
      <c r="BAH377" s="50"/>
      <c r="BAI377" s="50"/>
      <c r="BAJ377" s="50"/>
      <c r="BAK377" s="50"/>
      <c r="BAL377" s="50"/>
      <c r="BAM377" s="50"/>
      <c r="BAN377" s="50"/>
      <c r="BAO377" s="50"/>
      <c r="BAP377" s="50"/>
      <c r="BAQ377" s="50"/>
      <c r="BAR377" s="50"/>
      <c r="BAS377" s="50"/>
      <c r="BAT377" s="50"/>
      <c r="BAU377" s="50"/>
      <c r="BAV377" s="50"/>
      <c r="BAW377" s="50"/>
      <c r="BAX377" s="50"/>
      <c r="BAY377" s="50"/>
      <c r="BAZ377" s="50"/>
      <c r="BBA377" s="50"/>
      <c r="BBB377" s="50"/>
      <c r="BBC377" s="50"/>
      <c r="BBD377" s="50"/>
      <c r="BBE377" s="50"/>
      <c r="BBF377" s="50"/>
      <c r="BBG377" s="50"/>
      <c r="BBH377" s="50"/>
      <c r="BBI377" s="50"/>
      <c r="BBJ377" s="50"/>
      <c r="BBK377" s="50"/>
      <c r="BBL377" s="50"/>
      <c r="BBM377" s="50"/>
      <c r="BBN377" s="50"/>
      <c r="BBO377" s="50"/>
      <c r="BBP377" s="50"/>
      <c r="BBQ377" s="50"/>
      <c r="BBR377" s="50"/>
      <c r="BBS377" s="50"/>
      <c r="BBT377" s="50"/>
      <c r="BBU377" s="50"/>
      <c r="BBV377" s="50"/>
      <c r="BBW377" s="50"/>
      <c r="BBX377" s="50"/>
      <c r="BBY377" s="50"/>
      <c r="BBZ377" s="50"/>
      <c r="BCA377" s="50"/>
      <c r="BCB377" s="50"/>
      <c r="BCC377" s="50"/>
      <c r="BCD377" s="50"/>
      <c r="BCE377" s="50"/>
      <c r="BCF377" s="50"/>
      <c r="BCG377" s="50"/>
      <c r="BCH377" s="50"/>
      <c r="BCI377" s="50"/>
      <c r="BCJ377" s="50"/>
      <c r="BCK377" s="50"/>
      <c r="BCL377" s="50"/>
      <c r="BCM377" s="50"/>
      <c r="BCN377" s="50"/>
      <c r="BCO377" s="50"/>
      <c r="BCP377" s="50"/>
      <c r="BCQ377" s="50"/>
      <c r="BCR377" s="50"/>
      <c r="BCS377" s="50"/>
      <c r="BCT377" s="50"/>
      <c r="BCU377" s="50"/>
      <c r="BCV377" s="50"/>
      <c r="BCW377" s="50"/>
      <c r="BCX377" s="50"/>
      <c r="BCY377" s="50"/>
      <c r="BCZ377" s="50"/>
      <c r="BDA377" s="50"/>
      <c r="BDB377" s="50"/>
      <c r="BDC377" s="50"/>
      <c r="BDD377" s="50"/>
      <c r="BDE377" s="50"/>
      <c r="BDF377" s="50"/>
      <c r="BDG377" s="50"/>
      <c r="BDH377" s="50"/>
      <c r="BDI377" s="50"/>
      <c r="BDJ377" s="50"/>
      <c r="BDK377" s="50"/>
      <c r="BDL377" s="50"/>
      <c r="BDM377" s="50"/>
      <c r="BDN377" s="50"/>
      <c r="BDO377" s="50"/>
      <c r="BDP377" s="50"/>
      <c r="BDQ377" s="50"/>
      <c r="BDR377" s="50"/>
      <c r="BDS377" s="50"/>
      <c r="BDT377" s="50"/>
      <c r="BDU377" s="50"/>
      <c r="BDV377" s="50"/>
      <c r="BDW377" s="50"/>
      <c r="BDX377" s="50"/>
      <c r="BDY377" s="50"/>
      <c r="BDZ377" s="50"/>
      <c r="BEA377" s="50"/>
      <c r="BEB377" s="50"/>
      <c r="BEC377" s="50"/>
      <c r="BED377" s="50"/>
      <c r="BEE377" s="50"/>
      <c r="BEF377" s="50"/>
      <c r="BEG377" s="50"/>
      <c r="BEH377" s="50"/>
      <c r="BEI377" s="50"/>
      <c r="BEJ377" s="50"/>
      <c r="BEK377" s="50"/>
      <c r="BEL377" s="50"/>
      <c r="BEM377" s="50"/>
      <c r="BEN377" s="50"/>
      <c r="BEO377" s="50"/>
      <c r="BEP377" s="50"/>
      <c r="BEQ377" s="50"/>
      <c r="BER377" s="50"/>
      <c r="BES377" s="50"/>
      <c r="BET377" s="50"/>
      <c r="BEU377" s="50"/>
      <c r="BEV377" s="50"/>
      <c r="BEW377" s="50"/>
      <c r="BEX377" s="50"/>
      <c r="BEY377" s="50"/>
      <c r="BEZ377" s="50"/>
      <c r="BFA377" s="50"/>
      <c r="BFB377" s="50"/>
      <c r="BFC377" s="50"/>
      <c r="BFD377" s="50"/>
      <c r="BFE377" s="50"/>
      <c r="BFF377" s="50"/>
      <c r="BFG377" s="50"/>
      <c r="BFH377" s="50"/>
      <c r="BFI377" s="50"/>
      <c r="BFJ377" s="50"/>
      <c r="BFK377" s="50"/>
      <c r="BFL377" s="50"/>
      <c r="BFM377" s="50"/>
      <c r="BFN377" s="50"/>
      <c r="BFO377" s="50"/>
      <c r="BFP377" s="50"/>
      <c r="BFQ377" s="50"/>
      <c r="BFR377" s="50"/>
      <c r="BFS377" s="50"/>
      <c r="BFT377" s="50"/>
      <c r="BFU377" s="50"/>
      <c r="BFV377" s="50"/>
      <c r="BFW377" s="50"/>
      <c r="BFX377" s="50"/>
      <c r="BFY377" s="50"/>
      <c r="BFZ377" s="50"/>
      <c r="BGA377" s="50"/>
      <c r="BGB377" s="50"/>
      <c r="BGC377" s="50"/>
      <c r="BGD377" s="50"/>
      <c r="BGE377" s="50"/>
      <c r="BGF377" s="50"/>
      <c r="BGG377" s="50"/>
      <c r="BGH377" s="50"/>
      <c r="BGI377" s="50"/>
      <c r="BGJ377" s="50"/>
      <c r="BGK377" s="50"/>
      <c r="BGL377" s="50"/>
      <c r="BGM377" s="50"/>
      <c r="BGN377" s="50"/>
      <c r="BGO377" s="50"/>
      <c r="BGP377" s="50"/>
      <c r="BGQ377" s="50"/>
      <c r="BGR377" s="50"/>
      <c r="BGS377" s="50"/>
      <c r="BGT377" s="50"/>
      <c r="BGU377" s="50"/>
      <c r="BGV377" s="50"/>
      <c r="BGW377" s="50"/>
      <c r="BGX377" s="50"/>
      <c r="BGY377" s="50"/>
      <c r="BGZ377" s="50"/>
      <c r="BHA377" s="50"/>
      <c r="BHB377" s="50"/>
      <c r="BHC377" s="50"/>
      <c r="BHD377" s="50"/>
      <c r="BHE377" s="50"/>
      <c r="BHF377" s="50"/>
      <c r="BHG377" s="50"/>
      <c r="BHH377" s="50"/>
      <c r="BHI377" s="50"/>
      <c r="BHJ377" s="50"/>
      <c r="BHK377" s="50"/>
      <c r="BHL377" s="50"/>
      <c r="BHM377" s="50"/>
      <c r="BHN377" s="50"/>
      <c r="BHO377" s="50"/>
      <c r="BHP377" s="50"/>
      <c r="BHQ377" s="50"/>
      <c r="BHR377" s="50"/>
      <c r="BHS377" s="50"/>
      <c r="BHT377" s="50"/>
      <c r="BHU377" s="50"/>
      <c r="BHV377" s="50"/>
      <c r="BHW377" s="50"/>
      <c r="BHX377" s="50"/>
      <c r="BHY377" s="50"/>
      <c r="BHZ377" s="50"/>
      <c r="BIA377" s="50"/>
      <c r="BIB377" s="50"/>
      <c r="BIC377" s="50"/>
      <c r="BID377" s="50"/>
      <c r="BIE377" s="50"/>
      <c r="BIF377" s="50"/>
      <c r="BIG377" s="50"/>
      <c r="BIH377" s="50"/>
      <c r="BII377" s="50"/>
      <c r="BIJ377" s="50"/>
      <c r="BIK377" s="50"/>
      <c r="BIL377" s="50"/>
      <c r="BIM377" s="50"/>
      <c r="BIN377" s="50"/>
      <c r="BIO377" s="50"/>
      <c r="BIP377" s="50"/>
      <c r="BIQ377" s="50"/>
      <c r="BIR377" s="50"/>
      <c r="BIS377" s="50"/>
      <c r="BIT377" s="50"/>
      <c r="BIU377" s="50"/>
      <c r="BIV377" s="50"/>
      <c r="BIW377" s="50"/>
      <c r="BIX377" s="50"/>
      <c r="BIY377" s="50"/>
      <c r="BIZ377" s="50"/>
      <c r="BJA377" s="50"/>
      <c r="BJB377" s="50"/>
      <c r="BJC377" s="50"/>
      <c r="BJD377" s="50"/>
      <c r="BJE377" s="50"/>
      <c r="BJF377" s="50"/>
      <c r="BJG377" s="50"/>
      <c r="BJH377" s="50"/>
      <c r="BJI377" s="50"/>
      <c r="BJJ377" s="50"/>
      <c r="BJK377" s="50"/>
      <c r="BJL377" s="50"/>
      <c r="BJM377" s="50"/>
      <c r="BJN377" s="50"/>
      <c r="BJO377" s="50"/>
      <c r="BJP377" s="50"/>
      <c r="BJQ377" s="50"/>
      <c r="BJR377" s="50"/>
      <c r="BJS377" s="50"/>
      <c r="BJT377" s="50"/>
      <c r="BJU377" s="50"/>
      <c r="BJV377" s="50"/>
      <c r="BJW377" s="50"/>
      <c r="BJX377" s="50"/>
      <c r="BJY377" s="50"/>
      <c r="BJZ377" s="50"/>
      <c r="BKA377" s="50"/>
      <c r="BKB377" s="50"/>
      <c r="BKC377" s="50"/>
      <c r="BKD377" s="50"/>
      <c r="BKE377" s="50"/>
      <c r="BKF377" s="50"/>
      <c r="BKG377" s="50"/>
      <c r="BKH377" s="50"/>
      <c r="BKI377" s="50"/>
      <c r="BKJ377" s="50"/>
      <c r="BKK377" s="50"/>
      <c r="BKL377" s="50"/>
      <c r="BKM377" s="50"/>
      <c r="BKN377" s="50"/>
      <c r="BKO377" s="50"/>
      <c r="BKP377" s="50"/>
      <c r="BKQ377" s="50"/>
      <c r="BKR377" s="50"/>
      <c r="BKS377" s="50"/>
      <c r="BKT377" s="50"/>
      <c r="BKU377" s="50"/>
      <c r="BKV377" s="50"/>
      <c r="BKW377" s="50"/>
      <c r="BKX377" s="50"/>
      <c r="BKY377" s="50"/>
      <c r="BKZ377" s="50"/>
      <c r="BLA377" s="50"/>
      <c r="BLB377" s="50"/>
      <c r="BLC377" s="50"/>
      <c r="BLD377" s="50"/>
      <c r="BLE377" s="50"/>
      <c r="BLF377" s="50"/>
      <c r="BLG377" s="50"/>
      <c r="BLH377" s="50"/>
      <c r="BLI377" s="50"/>
      <c r="BLJ377" s="50"/>
      <c r="BLK377" s="50"/>
      <c r="BLL377" s="50"/>
      <c r="BLM377" s="50"/>
      <c r="BLN377" s="50"/>
      <c r="BLO377" s="50"/>
      <c r="BLP377" s="50"/>
      <c r="BLQ377" s="50"/>
      <c r="BLR377" s="50"/>
      <c r="BLS377" s="50"/>
      <c r="BLT377" s="50"/>
      <c r="BLU377" s="50"/>
      <c r="BLV377" s="50"/>
      <c r="BLW377" s="50"/>
      <c r="BLX377" s="50"/>
      <c r="BLY377" s="50"/>
      <c r="BLZ377" s="50"/>
      <c r="BMA377" s="50"/>
      <c r="BMB377" s="50"/>
      <c r="BMC377" s="50"/>
      <c r="BMD377" s="50"/>
      <c r="BME377" s="50"/>
      <c r="BMF377" s="50"/>
      <c r="BMG377" s="50"/>
      <c r="BMH377" s="50"/>
      <c r="BMI377" s="50"/>
      <c r="BMJ377" s="50"/>
      <c r="BMK377" s="50"/>
      <c r="BML377" s="50"/>
      <c r="BMM377" s="50"/>
      <c r="BMN377" s="50"/>
      <c r="BMO377" s="50"/>
      <c r="BMP377" s="50"/>
      <c r="BMQ377" s="50"/>
      <c r="BMR377" s="50"/>
      <c r="BMS377" s="50"/>
      <c r="BMT377" s="50"/>
      <c r="BMU377" s="50"/>
      <c r="BMV377" s="50"/>
      <c r="BMW377" s="50"/>
      <c r="BMX377" s="50"/>
      <c r="BMY377" s="50"/>
      <c r="BMZ377" s="50"/>
      <c r="BNA377" s="50"/>
      <c r="BNB377" s="50"/>
      <c r="BNC377" s="50"/>
      <c r="BND377" s="50"/>
      <c r="BNE377" s="50"/>
      <c r="BNF377" s="50"/>
      <c r="BNG377" s="50"/>
      <c r="BNH377" s="50"/>
      <c r="BNI377" s="50"/>
      <c r="BNJ377" s="50"/>
      <c r="BNK377" s="50"/>
      <c r="BNL377" s="50"/>
      <c r="BNM377" s="50"/>
      <c r="BNN377" s="50"/>
      <c r="BNO377" s="50"/>
      <c r="BNP377" s="50"/>
      <c r="BNQ377" s="50"/>
      <c r="BNR377" s="50"/>
      <c r="BNS377" s="50"/>
      <c r="BNT377" s="50"/>
      <c r="BNU377" s="50"/>
      <c r="BNV377" s="50"/>
      <c r="BNW377" s="50"/>
      <c r="BNX377" s="50"/>
      <c r="BNY377" s="50"/>
      <c r="BNZ377" s="50"/>
      <c r="BOA377" s="50"/>
      <c r="BOB377" s="50"/>
      <c r="BOC377" s="50"/>
      <c r="BOD377" s="50"/>
      <c r="BOE377" s="50"/>
      <c r="BOF377" s="50"/>
      <c r="BOG377" s="50"/>
      <c r="BOH377" s="50"/>
      <c r="BOI377" s="50"/>
      <c r="BOJ377" s="50"/>
      <c r="BOK377" s="50"/>
      <c r="BOL377" s="50"/>
      <c r="BOM377" s="50"/>
      <c r="BON377" s="50"/>
      <c r="BOO377" s="50"/>
      <c r="BOP377" s="50"/>
      <c r="BOQ377" s="50"/>
      <c r="BOR377" s="50"/>
      <c r="BOS377" s="50"/>
      <c r="BOT377" s="50"/>
      <c r="BOU377" s="50"/>
      <c r="BOV377" s="50"/>
      <c r="BOW377" s="50"/>
      <c r="BOX377" s="50"/>
      <c r="BOY377" s="50"/>
      <c r="BOZ377" s="50"/>
      <c r="BPA377" s="50"/>
      <c r="BPB377" s="50"/>
      <c r="BPC377" s="50"/>
      <c r="BPD377" s="50"/>
      <c r="BPE377" s="50"/>
      <c r="BPF377" s="50"/>
      <c r="BPG377" s="50"/>
      <c r="BPH377" s="50"/>
      <c r="BPI377" s="50"/>
      <c r="BPJ377" s="50"/>
      <c r="BPK377" s="50"/>
      <c r="BPL377" s="50"/>
      <c r="BPM377" s="50"/>
      <c r="BPN377" s="50"/>
      <c r="BPO377" s="50"/>
      <c r="BPP377" s="50"/>
      <c r="BPQ377" s="50"/>
      <c r="BPR377" s="50"/>
      <c r="BPS377" s="50"/>
      <c r="BPT377" s="50"/>
      <c r="BPU377" s="50"/>
      <c r="BPV377" s="50"/>
      <c r="BPW377" s="50"/>
      <c r="BPX377" s="50"/>
      <c r="BPY377" s="50"/>
      <c r="BPZ377" s="50"/>
      <c r="BQA377" s="50"/>
      <c r="BQB377" s="50"/>
      <c r="BQC377" s="50"/>
      <c r="BQD377" s="50"/>
      <c r="BQE377" s="50"/>
      <c r="BQF377" s="50"/>
      <c r="BQG377" s="50"/>
      <c r="BQH377" s="50"/>
      <c r="BQI377" s="50"/>
      <c r="BQJ377" s="50"/>
      <c r="BQK377" s="50"/>
      <c r="BQL377" s="50"/>
      <c r="BQM377" s="50"/>
      <c r="BQN377" s="50"/>
      <c r="BQO377" s="50"/>
      <c r="BQP377" s="50"/>
      <c r="BQQ377" s="50"/>
      <c r="BQR377" s="50"/>
      <c r="BQS377" s="50"/>
      <c r="BQT377" s="50"/>
      <c r="BQU377" s="50"/>
      <c r="BQV377" s="50"/>
      <c r="BQW377" s="50"/>
      <c r="BQX377" s="50"/>
      <c r="BQY377" s="50"/>
      <c r="BQZ377" s="50"/>
      <c r="BRA377" s="50"/>
      <c r="BRB377" s="50"/>
      <c r="BRC377" s="50"/>
      <c r="BRD377" s="50"/>
      <c r="BRE377" s="50"/>
      <c r="BRF377" s="50"/>
      <c r="BRG377" s="50"/>
      <c r="BRH377" s="50"/>
      <c r="BRI377" s="50"/>
      <c r="BRJ377" s="50"/>
      <c r="BRK377" s="50"/>
      <c r="BRL377" s="50"/>
      <c r="BRM377" s="50"/>
      <c r="BRN377" s="50"/>
      <c r="BRO377" s="50"/>
      <c r="BRP377" s="50"/>
      <c r="BRQ377" s="50"/>
      <c r="BRR377" s="50"/>
      <c r="BRS377" s="50"/>
      <c r="BRT377" s="50"/>
      <c r="BRU377" s="50"/>
      <c r="BRV377" s="50"/>
      <c r="BRW377" s="50"/>
      <c r="BRX377" s="50"/>
      <c r="BRY377" s="50"/>
      <c r="BRZ377" s="50"/>
      <c r="BSA377" s="50"/>
      <c r="BSB377" s="50"/>
      <c r="BSC377" s="50"/>
      <c r="BSD377" s="50"/>
      <c r="BSE377" s="50"/>
      <c r="BSF377" s="50"/>
      <c r="BSG377" s="50"/>
      <c r="BSH377" s="50"/>
      <c r="BSI377" s="50"/>
      <c r="BSJ377" s="50"/>
      <c r="BSK377" s="50"/>
      <c r="BSL377" s="50"/>
      <c r="BSM377" s="50"/>
      <c r="BSN377" s="50"/>
      <c r="BSO377" s="50"/>
      <c r="BSP377" s="50"/>
      <c r="BSQ377" s="50"/>
      <c r="BSR377" s="50"/>
      <c r="BSS377" s="50"/>
      <c r="BST377" s="50"/>
      <c r="BSU377" s="50"/>
      <c r="BSV377" s="50"/>
      <c r="BSW377" s="50"/>
      <c r="BSX377" s="50"/>
      <c r="BSY377" s="50"/>
      <c r="BSZ377" s="50"/>
      <c r="BTA377" s="50"/>
      <c r="BTB377" s="50"/>
      <c r="BTC377" s="50"/>
      <c r="BTD377" s="50"/>
      <c r="BTE377" s="50"/>
      <c r="BTF377" s="50"/>
      <c r="BTG377" s="50"/>
      <c r="BTH377" s="50"/>
      <c r="BTI377" s="50"/>
      <c r="BTJ377" s="50"/>
      <c r="BTK377" s="50"/>
      <c r="BTL377" s="50"/>
      <c r="BTM377" s="50"/>
      <c r="BTN377" s="50"/>
      <c r="BTO377" s="50"/>
      <c r="BTP377" s="50"/>
      <c r="BTQ377" s="50"/>
      <c r="BTR377" s="50"/>
      <c r="BTS377" s="50"/>
      <c r="BTT377" s="50"/>
      <c r="BTU377" s="50"/>
      <c r="BTV377" s="50"/>
      <c r="BTW377" s="50"/>
      <c r="BTX377" s="50"/>
      <c r="BTY377" s="50"/>
      <c r="BTZ377" s="50"/>
      <c r="BUA377" s="50"/>
      <c r="BUB377" s="50"/>
      <c r="BUC377" s="50"/>
      <c r="BUD377" s="50"/>
      <c r="BUE377" s="50"/>
      <c r="BUF377" s="50"/>
      <c r="BUG377" s="50"/>
      <c r="BUH377" s="50"/>
      <c r="BUI377" s="50"/>
      <c r="BUJ377" s="50"/>
      <c r="BUK377" s="50"/>
      <c r="BUL377" s="50"/>
      <c r="BUM377" s="50"/>
      <c r="BUN377" s="50"/>
      <c r="BUO377" s="50"/>
      <c r="BUP377" s="50"/>
      <c r="BUQ377" s="50"/>
      <c r="BUR377" s="50"/>
      <c r="BUS377" s="50"/>
      <c r="BUT377" s="50"/>
      <c r="BUU377" s="50"/>
      <c r="BUV377" s="50"/>
      <c r="BUW377" s="50"/>
      <c r="BUX377" s="50"/>
      <c r="BUY377" s="50"/>
      <c r="BUZ377" s="50"/>
      <c r="BVA377" s="50"/>
      <c r="BVB377" s="50"/>
      <c r="BVC377" s="50"/>
      <c r="BVD377" s="50"/>
      <c r="BVE377" s="50"/>
      <c r="BVF377" s="50"/>
      <c r="BVG377" s="50"/>
      <c r="BVH377" s="50"/>
      <c r="BVI377" s="50"/>
      <c r="BVJ377" s="50"/>
      <c r="BVK377" s="50"/>
      <c r="BVL377" s="50"/>
      <c r="BVM377" s="50"/>
      <c r="BVN377" s="50"/>
      <c r="BVO377" s="50"/>
      <c r="BVP377" s="50"/>
      <c r="BVQ377" s="50"/>
      <c r="BVR377" s="50"/>
      <c r="BVS377" s="50"/>
      <c r="BVT377" s="50"/>
      <c r="BVU377" s="50"/>
      <c r="BVV377" s="50"/>
      <c r="BVW377" s="50"/>
      <c r="BVX377" s="50"/>
      <c r="BVY377" s="50"/>
      <c r="BVZ377" s="50"/>
      <c r="BWA377" s="50"/>
      <c r="BWB377" s="50"/>
      <c r="BWC377" s="50"/>
      <c r="BWD377" s="50"/>
      <c r="BWE377" s="50"/>
      <c r="BWF377" s="50"/>
      <c r="BWG377" s="50"/>
      <c r="BWH377" s="50"/>
      <c r="BWI377" s="50"/>
      <c r="BWJ377" s="50"/>
      <c r="BWK377" s="50"/>
      <c r="BWL377" s="50"/>
      <c r="BWM377" s="50"/>
      <c r="BWN377" s="50"/>
      <c r="BWO377" s="50"/>
      <c r="BWP377" s="50"/>
      <c r="BWQ377" s="50"/>
      <c r="BWR377" s="50"/>
      <c r="BWS377" s="50"/>
      <c r="BWT377" s="50"/>
      <c r="BWU377" s="50"/>
      <c r="BWV377" s="50"/>
      <c r="BWW377" s="50"/>
      <c r="BWX377" s="50"/>
      <c r="BWY377" s="50"/>
      <c r="BWZ377" s="50"/>
      <c r="BXA377" s="50"/>
      <c r="BXB377" s="50"/>
      <c r="BXC377" s="50"/>
      <c r="BXD377" s="50"/>
      <c r="BXE377" s="50"/>
      <c r="BXF377" s="50"/>
      <c r="BXG377" s="50"/>
      <c r="BXH377" s="50"/>
      <c r="BXI377" s="50"/>
      <c r="BXJ377" s="50"/>
      <c r="BXK377" s="50"/>
      <c r="BXL377" s="50"/>
      <c r="BXM377" s="50"/>
      <c r="BXN377" s="50"/>
      <c r="BXO377" s="50"/>
      <c r="BXP377" s="50"/>
      <c r="BXQ377" s="50"/>
      <c r="BXR377" s="50"/>
      <c r="BXS377" s="50"/>
      <c r="BXT377" s="50"/>
      <c r="BXU377" s="50"/>
      <c r="BXV377" s="50"/>
      <c r="BXW377" s="50"/>
      <c r="BXX377" s="50"/>
      <c r="BXY377" s="50"/>
      <c r="BXZ377" s="50"/>
      <c r="BYA377" s="50"/>
      <c r="BYB377" s="50"/>
      <c r="BYC377" s="50"/>
      <c r="BYD377" s="50"/>
      <c r="BYE377" s="50"/>
      <c r="BYF377" s="50"/>
      <c r="BYG377" s="50"/>
      <c r="BYH377" s="50"/>
      <c r="BYI377" s="50"/>
      <c r="BYJ377" s="50"/>
      <c r="BYK377" s="50"/>
      <c r="BYL377" s="50"/>
      <c r="BYM377" s="50"/>
      <c r="BYN377" s="50"/>
      <c r="BYO377" s="50"/>
      <c r="BYP377" s="50"/>
      <c r="BYQ377" s="50"/>
      <c r="BYR377" s="50"/>
      <c r="BYS377" s="50"/>
      <c r="BYT377" s="50"/>
      <c r="BYU377" s="50"/>
      <c r="BYV377" s="50"/>
      <c r="BYW377" s="50"/>
      <c r="BYX377" s="50"/>
      <c r="BYY377" s="50"/>
      <c r="BYZ377" s="50"/>
      <c r="BZA377" s="50"/>
      <c r="BZB377" s="50"/>
      <c r="BZC377" s="50"/>
      <c r="BZD377" s="50"/>
      <c r="BZE377" s="50"/>
      <c r="BZF377" s="50"/>
      <c r="BZG377" s="50"/>
      <c r="BZH377" s="50"/>
      <c r="BZI377" s="50"/>
      <c r="BZJ377" s="50"/>
      <c r="BZK377" s="50"/>
      <c r="BZL377" s="50"/>
      <c r="BZM377" s="50"/>
      <c r="BZN377" s="50"/>
      <c r="BZO377" s="50"/>
      <c r="BZP377" s="50"/>
      <c r="BZQ377" s="50"/>
      <c r="BZR377" s="50"/>
      <c r="BZS377" s="50"/>
      <c r="BZT377" s="50"/>
      <c r="BZU377" s="50"/>
      <c r="BZV377" s="50"/>
      <c r="BZW377" s="50"/>
      <c r="BZX377" s="50"/>
      <c r="BZY377" s="50"/>
      <c r="BZZ377" s="50"/>
      <c r="CAA377" s="50"/>
      <c r="CAB377" s="50"/>
      <c r="CAC377" s="50"/>
      <c r="CAD377" s="50"/>
      <c r="CAE377" s="50"/>
      <c r="CAF377" s="50"/>
      <c r="CAG377" s="50"/>
      <c r="CAH377" s="50"/>
      <c r="CAI377" s="50"/>
      <c r="CAJ377" s="50"/>
      <c r="CAK377" s="50"/>
      <c r="CAL377" s="50"/>
      <c r="CAM377" s="50"/>
      <c r="CAN377" s="50"/>
      <c r="CAO377" s="50"/>
      <c r="CAP377" s="50"/>
      <c r="CAQ377" s="50"/>
      <c r="CAR377" s="50"/>
      <c r="CAS377" s="50"/>
      <c r="CAT377" s="50"/>
      <c r="CAU377" s="50"/>
      <c r="CAV377" s="50"/>
      <c r="CAW377" s="50"/>
      <c r="CAX377" s="50"/>
      <c r="CAY377" s="50"/>
      <c r="CAZ377" s="50"/>
      <c r="CBA377" s="50"/>
      <c r="CBB377" s="50"/>
      <c r="CBC377" s="50"/>
      <c r="CBD377" s="50"/>
      <c r="CBE377" s="50"/>
      <c r="CBF377" s="50"/>
      <c r="CBG377" s="50"/>
      <c r="CBH377" s="50"/>
      <c r="CBI377" s="50"/>
      <c r="CBJ377" s="50"/>
      <c r="CBK377" s="50"/>
      <c r="CBL377" s="50"/>
      <c r="CBM377" s="50"/>
      <c r="CBN377" s="50"/>
      <c r="CBO377" s="50"/>
      <c r="CBP377" s="50"/>
      <c r="CBQ377" s="50"/>
      <c r="CBR377" s="50"/>
      <c r="CBS377" s="50"/>
      <c r="CBT377" s="50"/>
      <c r="CBU377" s="50"/>
      <c r="CBV377" s="50"/>
      <c r="CBW377" s="50"/>
      <c r="CBX377" s="50"/>
      <c r="CBY377" s="50"/>
      <c r="CBZ377" s="50"/>
      <c r="CCA377" s="50"/>
      <c r="CCB377" s="50"/>
      <c r="CCC377" s="50"/>
      <c r="CCD377" s="50"/>
      <c r="CCE377" s="50"/>
      <c r="CCF377" s="50"/>
      <c r="CCG377" s="50"/>
      <c r="CCH377" s="50"/>
      <c r="CCI377" s="50"/>
      <c r="CCJ377" s="50"/>
      <c r="CCK377" s="50"/>
      <c r="CCL377" s="50"/>
      <c r="CCM377" s="50"/>
      <c r="CCN377" s="50"/>
      <c r="CCO377" s="50"/>
      <c r="CCP377" s="50"/>
      <c r="CCQ377" s="50"/>
      <c r="CCR377" s="50"/>
      <c r="CCS377" s="50"/>
      <c r="CCT377" s="50"/>
      <c r="CCU377" s="50"/>
      <c r="CCV377" s="50"/>
      <c r="CCW377" s="50"/>
      <c r="CCX377" s="50"/>
      <c r="CCY377" s="50"/>
      <c r="CCZ377" s="50"/>
      <c r="CDA377" s="50"/>
      <c r="CDB377" s="50"/>
      <c r="CDC377" s="50"/>
      <c r="CDD377" s="50"/>
      <c r="CDE377" s="50"/>
      <c r="CDF377" s="50"/>
      <c r="CDG377" s="50"/>
      <c r="CDH377" s="50"/>
      <c r="CDI377" s="50"/>
      <c r="CDJ377" s="50"/>
      <c r="CDK377" s="50"/>
      <c r="CDL377" s="50"/>
      <c r="CDM377" s="50"/>
      <c r="CDN377" s="50"/>
      <c r="CDO377" s="50"/>
      <c r="CDP377" s="50"/>
      <c r="CDQ377" s="50"/>
      <c r="CDR377" s="50"/>
      <c r="CDS377" s="50"/>
      <c r="CDT377" s="50"/>
      <c r="CDU377" s="50"/>
      <c r="CDV377" s="50"/>
      <c r="CDW377" s="50"/>
      <c r="CDX377" s="50"/>
      <c r="CDY377" s="50"/>
      <c r="CDZ377" s="50"/>
      <c r="CEA377" s="50"/>
      <c r="CEB377" s="50"/>
      <c r="CEC377" s="50"/>
      <c r="CED377" s="50"/>
      <c r="CEE377" s="50"/>
      <c r="CEF377" s="50"/>
      <c r="CEG377" s="50"/>
      <c r="CEH377" s="50"/>
      <c r="CEI377" s="50"/>
      <c r="CEJ377" s="50"/>
      <c r="CEK377" s="50"/>
      <c r="CEL377" s="50"/>
      <c r="CEM377" s="50"/>
      <c r="CEN377" s="50"/>
      <c r="CEO377" s="50"/>
      <c r="CEP377" s="50"/>
      <c r="CEQ377" s="50"/>
      <c r="CER377" s="50"/>
      <c r="CES377" s="50"/>
      <c r="CET377" s="50"/>
      <c r="CEU377" s="50"/>
      <c r="CEV377" s="50"/>
      <c r="CEW377" s="50"/>
      <c r="CEX377" s="50"/>
      <c r="CEY377" s="50"/>
      <c r="CEZ377" s="50"/>
      <c r="CFA377" s="50"/>
      <c r="CFB377" s="50"/>
      <c r="CFC377" s="50"/>
      <c r="CFD377" s="50"/>
      <c r="CFE377" s="50"/>
      <c r="CFF377" s="50"/>
      <c r="CFG377" s="50"/>
      <c r="CFH377" s="50"/>
      <c r="CFI377" s="50"/>
      <c r="CFJ377" s="50"/>
      <c r="CFK377" s="50"/>
      <c r="CFL377" s="50"/>
      <c r="CFM377" s="50"/>
      <c r="CFN377" s="50"/>
      <c r="CFO377" s="50"/>
      <c r="CFP377" s="50"/>
      <c r="CFQ377" s="50"/>
      <c r="CFR377" s="50"/>
      <c r="CFS377" s="50"/>
      <c r="CFT377" s="50"/>
      <c r="CFU377" s="50"/>
      <c r="CFV377" s="50"/>
      <c r="CFW377" s="50"/>
      <c r="CFX377" s="50"/>
      <c r="CFY377" s="50"/>
      <c r="CFZ377" s="50"/>
      <c r="CGA377" s="50"/>
      <c r="CGB377" s="50"/>
      <c r="CGC377" s="50"/>
      <c r="CGD377" s="50"/>
      <c r="CGE377" s="50"/>
      <c r="CGF377" s="50"/>
      <c r="CGG377" s="50"/>
      <c r="CGH377" s="50"/>
      <c r="CGI377" s="50"/>
      <c r="CGJ377" s="50"/>
      <c r="CGK377" s="50"/>
      <c r="CGL377" s="50"/>
      <c r="CGM377" s="50"/>
      <c r="CGN377" s="50"/>
      <c r="CGO377" s="50"/>
      <c r="CGP377" s="50"/>
      <c r="CGQ377" s="50"/>
      <c r="CGR377" s="50"/>
      <c r="CGS377" s="50"/>
      <c r="CGT377" s="50"/>
      <c r="CGU377" s="50"/>
      <c r="CGV377" s="50"/>
      <c r="CGW377" s="50"/>
      <c r="CGX377" s="50"/>
      <c r="CGY377" s="50"/>
      <c r="CGZ377" s="50"/>
      <c r="CHA377" s="50"/>
      <c r="CHB377" s="50"/>
      <c r="CHC377" s="50"/>
      <c r="CHD377" s="50"/>
      <c r="CHE377" s="50"/>
      <c r="CHF377" s="50"/>
      <c r="CHG377" s="50"/>
      <c r="CHH377" s="50"/>
      <c r="CHI377" s="50"/>
      <c r="CHJ377" s="50"/>
      <c r="CHK377" s="50"/>
      <c r="CHL377" s="50"/>
      <c r="CHM377" s="50"/>
      <c r="CHN377" s="50"/>
      <c r="CHO377" s="50"/>
      <c r="CHP377" s="50"/>
      <c r="CHQ377" s="50"/>
      <c r="CHR377" s="50"/>
      <c r="CHS377" s="50"/>
      <c r="CHT377" s="50"/>
      <c r="CHU377" s="50"/>
      <c r="CHV377" s="50"/>
      <c r="CHW377" s="50"/>
      <c r="CHX377" s="50"/>
      <c r="CHY377" s="50"/>
      <c r="CHZ377" s="50"/>
      <c r="CIA377" s="50"/>
      <c r="CIB377" s="50"/>
      <c r="CIC377" s="50"/>
      <c r="CID377" s="50"/>
      <c r="CIE377" s="50"/>
      <c r="CIF377" s="50"/>
      <c r="CIG377" s="50"/>
      <c r="CIH377" s="50"/>
      <c r="CII377" s="50"/>
      <c r="CIJ377" s="50"/>
      <c r="CIK377" s="50"/>
      <c r="CIL377" s="50"/>
      <c r="CIM377" s="50"/>
      <c r="CIN377" s="50"/>
      <c r="CIO377" s="50"/>
      <c r="CIP377" s="50"/>
      <c r="CIQ377" s="50"/>
      <c r="CIR377" s="50"/>
      <c r="CIS377" s="50"/>
      <c r="CIT377" s="50"/>
      <c r="CIU377" s="50"/>
      <c r="CIV377" s="50"/>
      <c r="CIW377" s="50"/>
      <c r="CIX377" s="50"/>
      <c r="CIY377" s="50"/>
      <c r="CIZ377" s="50"/>
      <c r="CJA377" s="50"/>
      <c r="CJB377" s="50"/>
      <c r="CJC377" s="50"/>
      <c r="CJD377" s="50"/>
      <c r="CJE377" s="50"/>
      <c r="CJF377" s="50"/>
      <c r="CJG377" s="50"/>
      <c r="CJH377" s="50"/>
      <c r="CJI377" s="50"/>
      <c r="CJJ377" s="50"/>
      <c r="CJK377" s="50"/>
      <c r="CJL377" s="50"/>
      <c r="CJM377" s="50"/>
      <c r="CJN377" s="50"/>
      <c r="CJO377" s="50"/>
      <c r="CJP377" s="50"/>
      <c r="CJQ377" s="50"/>
      <c r="CJR377" s="50"/>
      <c r="CJS377" s="50"/>
      <c r="CJT377" s="50"/>
      <c r="CJU377" s="50"/>
      <c r="CJV377" s="50"/>
      <c r="CJW377" s="50"/>
      <c r="CJX377" s="50"/>
      <c r="CJY377" s="50"/>
      <c r="CJZ377" s="50"/>
      <c r="CKA377" s="50"/>
      <c r="CKB377" s="50"/>
      <c r="CKC377" s="50"/>
      <c r="CKD377" s="50"/>
      <c r="CKE377" s="50"/>
      <c r="CKF377" s="50"/>
      <c r="CKG377" s="50"/>
      <c r="CKH377" s="50"/>
      <c r="CKI377" s="50"/>
      <c r="CKJ377" s="50"/>
      <c r="CKK377" s="50"/>
      <c r="CKL377" s="50"/>
      <c r="CKM377" s="50"/>
      <c r="CKN377" s="50"/>
      <c r="CKO377" s="50"/>
      <c r="CKP377" s="50"/>
      <c r="CKQ377" s="50"/>
      <c r="CKR377" s="50"/>
      <c r="CKS377" s="50"/>
      <c r="CKT377" s="50"/>
      <c r="CKU377" s="50"/>
      <c r="CKV377" s="50"/>
      <c r="CKW377" s="50"/>
      <c r="CKX377" s="50"/>
      <c r="CKY377" s="50"/>
      <c r="CKZ377" s="50"/>
      <c r="CLA377" s="50"/>
      <c r="CLB377" s="50"/>
      <c r="CLC377" s="50"/>
      <c r="CLD377" s="50"/>
      <c r="CLE377" s="50"/>
      <c r="CLF377" s="50"/>
      <c r="CLG377" s="50"/>
      <c r="CLH377" s="50"/>
      <c r="CLI377" s="50"/>
      <c r="CLJ377" s="50"/>
      <c r="CLK377" s="50"/>
      <c r="CLL377" s="50"/>
      <c r="CLM377" s="50"/>
      <c r="CLN377" s="50"/>
      <c r="CLO377" s="50"/>
      <c r="CLP377" s="50"/>
      <c r="CLQ377" s="50"/>
      <c r="CLR377" s="50"/>
      <c r="CLS377" s="50"/>
      <c r="CLT377" s="50"/>
      <c r="CLU377" s="50"/>
      <c r="CLV377" s="50"/>
      <c r="CLW377" s="50"/>
      <c r="CLX377" s="50"/>
      <c r="CLY377" s="50"/>
      <c r="CLZ377" s="50"/>
      <c r="CMA377" s="50"/>
      <c r="CMB377" s="50"/>
      <c r="CMC377" s="50"/>
      <c r="CMD377" s="50"/>
      <c r="CME377" s="50"/>
      <c r="CMF377" s="50"/>
      <c r="CMG377" s="50"/>
      <c r="CMH377" s="50"/>
      <c r="CMI377" s="50"/>
      <c r="CMJ377" s="50"/>
      <c r="CMK377" s="50"/>
      <c r="CML377" s="50"/>
      <c r="CMM377" s="50"/>
      <c r="CMN377" s="50"/>
      <c r="CMO377" s="50"/>
      <c r="CMP377" s="50"/>
      <c r="CMQ377" s="50"/>
      <c r="CMR377" s="50"/>
      <c r="CMS377" s="50"/>
      <c r="CMT377" s="50"/>
      <c r="CMU377" s="50"/>
      <c r="CMV377" s="50"/>
      <c r="CMW377" s="50"/>
      <c r="CMX377" s="50"/>
      <c r="CMY377" s="50"/>
      <c r="CMZ377" s="50"/>
      <c r="CNA377" s="50"/>
      <c r="CNB377" s="50"/>
      <c r="CNC377" s="50"/>
      <c r="CND377" s="50"/>
      <c r="CNE377" s="50"/>
      <c r="CNF377" s="50"/>
      <c r="CNG377" s="50"/>
      <c r="CNH377" s="50"/>
      <c r="CNI377" s="50"/>
      <c r="CNJ377" s="50"/>
      <c r="CNK377" s="50"/>
      <c r="CNL377" s="50"/>
      <c r="CNM377" s="50"/>
      <c r="CNN377" s="50"/>
      <c r="CNO377" s="50"/>
      <c r="CNP377" s="50"/>
      <c r="CNQ377" s="50"/>
      <c r="CNR377" s="50"/>
      <c r="CNS377" s="50"/>
      <c r="CNT377" s="50"/>
      <c r="CNU377" s="50"/>
      <c r="CNV377" s="50"/>
      <c r="CNW377" s="50"/>
      <c r="CNX377" s="50"/>
      <c r="CNY377" s="50"/>
      <c r="CNZ377" s="50"/>
      <c r="COA377" s="50"/>
      <c r="COB377" s="50"/>
      <c r="COC377" s="50"/>
      <c r="COD377" s="50"/>
      <c r="COE377" s="50"/>
      <c r="COF377" s="50"/>
      <c r="COG377" s="50"/>
      <c r="COH377" s="50"/>
      <c r="COI377" s="50"/>
      <c r="COJ377" s="50"/>
      <c r="COK377" s="50"/>
      <c r="COL377" s="50"/>
      <c r="COM377" s="50"/>
      <c r="CON377" s="50"/>
      <c r="COO377" s="50"/>
      <c r="COP377" s="50"/>
      <c r="COQ377" s="50"/>
      <c r="COR377" s="50"/>
      <c r="COS377" s="50"/>
      <c r="COT377" s="50"/>
      <c r="COU377" s="50"/>
      <c r="COV377" s="50"/>
      <c r="COW377" s="50"/>
      <c r="COX377" s="50"/>
      <c r="COY377" s="50"/>
      <c r="COZ377" s="50"/>
      <c r="CPA377" s="50"/>
      <c r="CPB377" s="50"/>
      <c r="CPC377" s="50"/>
      <c r="CPD377" s="50"/>
      <c r="CPE377" s="50"/>
      <c r="CPF377" s="50"/>
      <c r="CPG377" s="50"/>
      <c r="CPH377" s="50"/>
      <c r="CPI377" s="50"/>
      <c r="CPJ377" s="50"/>
      <c r="CPK377" s="50"/>
      <c r="CPL377" s="50"/>
      <c r="CPM377" s="50"/>
      <c r="CPN377" s="50"/>
      <c r="CPO377" s="50"/>
      <c r="CPP377" s="50"/>
      <c r="CPQ377" s="50"/>
      <c r="CPR377" s="50"/>
      <c r="CPS377" s="50"/>
      <c r="CPT377" s="50"/>
      <c r="CPU377" s="50"/>
      <c r="CPV377" s="50"/>
      <c r="CPW377" s="50"/>
      <c r="CPX377" s="50"/>
      <c r="CPY377" s="50"/>
      <c r="CPZ377" s="50"/>
      <c r="CQA377" s="50"/>
      <c r="CQB377" s="50"/>
      <c r="CQC377" s="50"/>
      <c r="CQD377" s="50"/>
      <c r="CQE377" s="50"/>
      <c r="CQF377" s="50"/>
      <c r="CQG377" s="50"/>
      <c r="CQH377" s="50"/>
      <c r="CQI377" s="50"/>
      <c r="CQJ377" s="50"/>
      <c r="CQK377" s="50"/>
      <c r="CQL377" s="50"/>
      <c r="CQM377" s="50"/>
      <c r="CQN377" s="50"/>
      <c r="CQO377" s="50"/>
      <c r="CQP377" s="50"/>
      <c r="CQQ377" s="50"/>
      <c r="CQR377" s="50"/>
      <c r="CQS377" s="50"/>
      <c r="CQT377" s="50"/>
      <c r="CQU377" s="50"/>
      <c r="CQV377" s="50"/>
      <c r="CQW377" s="50"/>
      <c r="CQX377" s="50"/>
      <c r="CQY377" s="50"/>
      <c r="CQZ377" s="50"/>
      <c r="CRA377" s="50"/>
      <c r="CRB377" s="50"/>
      <c r="CRC377" s="50"/>
      <c r="CRD377" s="50"/>
      <c r="CRE377" s="50"/>
      <c r="CRF377" s="50"/>
      <c r="CRG377" s="50"/>
      <c r="CRH377" s="50"/>
      <c r="CRI377" s="50"/>
      <c r="CRJ377" s="50"/>
      <c r="CRK377" s="50"/>
      <c r="CRL377" s="50"/>
      <c r="CRM377" s="50"/>
      <c r="CRN377" s="50"/>
      <c r="CRO377" s="50"/>
      <c r="CRP377" s="50"/>
      <c r="CRQ377" s="50"/>
      <c r="CRR377" s="50"/>
      <c r="CRS377" s="50"/>
      <c r="CRT377" s="50"/>
      <c r="CRU377" s="50"/>
      <c r="CRV377" s="50"/>
      <c r="CRW377" s="50"/>
      <c r="CRX377" s="50"/>
      <c r="CRY377" s="50"/>
      <c r="CRZ377" s="50"/>
      <c r="CSA377" s="50"/>
      <c r="CSB377" s="50"/>
      <c r="CSC377" s="50"/>
      <c r="CSD377" s="50"/>
      <c r="CSE377" s="50"/>
      <c r="CSF377" s="50"/>
      <c r="CSG377" s="50"/>
      <c r="CSH377" s="50"/>
      <c r="CSI377" s="50"/>
      <c r="CSJ377" s="50"/>
      <c r="CSK377" s="50"/>
      <c r="CSL377" s="50"/>
      <c r="CSM377" s="50"/>
      <c r="CSN377" s="50"/>
      <c r="CSO377" s="50"/>
      <c r="CSP377" s="50"/>
      <c r="CSQ377" s="50"/>
      <c r="CSR377" s="50"/>
      <c r="CSS377" s="50"/>
      <c r="CST377" s="50"/>
      <c r="CSU377" s="50"/>
      <c r="CSV377" s="50"/>
      <c r="CSW377" s="50"/>
      <c r="CSX377" s="50"/>
      <c r="CSY377" s="50"/>
      <c r="CSZ377" s="50"/>
      <c r="CTA377" s="50"/>
      <c r="CTB377" s="50"/>
      <c r="CTC377" s="50"/>
      <c r="CTD377" s="50"/>
      <c r="CTE377" s="50"/>
      <c r="CTF377" s="50"/>
      <c r="CTG377" s="50"/>
      <c r="CTH377" s="50"/>
      <c r="CTI377" s="50"/>
      <c r="CTJ377" s="50"/>
      <c r="CTK377" s="50"/>
      <c r="CTL377" s="50"/>
      <c r="CTM377" s="50"/>
      <c r="CTN377" s="50"/>
      <c r="CTO377" s="50"/>
      <c r="CTP377" s="50"/>
      <c r="CTQ377" s="50"/>
      <c r="CTR377" s="50"/>
      <c r="CTS377" s="50"/>
      <c r="CTT377" s="50"/>
      <c r="CTU377" s="50"/>
      <c r="CTV377" s="50"/>
      <c r="CTW377" s="50"/>
      <c r="CTX377" s="50"/>
      <c r="CTY377" s="50"/>
      <c r="CTZ377" s="50"/>
      <c r="CUA377" s="50"/>
      <c r="CUB377" s="50"/>
      <c r="CUC377" s="50"/>
      <c r="CUD377" s="50"/>
      <c r="CUE377" s="50"/>
      <c r="CUF377" s="50"/>
      <c r="CUG377" s="50"/>
      <c r="CUH377" s="50"/>
      <c r="CUI377" s="50"/>
      <c r="CUJ377" s="50"/>
      <c r="CUK377" s="50"/>
      <c r="CUL377" s="50"/>
      <c r="CUM377" s="50"/>
      <c r="CUN377" s="50"/>
      <c r="CUO377" s="50"/>
      <c r="CUP377" s="50"/>
      <c r="CUQ377" s="50"/>
      <c r="CUR377" s="50"/>
      <c r="CUS377" s="50"/>
      <c r="CUT377" s="50"/>
      <c r="CUU377" s="50"/>
      <c r="CUV377" s="50"/>
      <c r="CUW377" s="50"/>
      <c r="CUX377" s="50"/>
      <c r="CUY377" s="50"/>
      <c r="CUZ377" s="50"/>
      <c r="CVA377" s="50"/>
      <c r="CVB377" s="50"/>
      <c r="CVC377" s="50"/>
      <c r="CVD377" s="50"/>
      <c r="CVE377" s="50"/>
      <c r="CVF377" s="50"/>
      <c r="CVG377" s="50"/>
      <c r="CVH377" s="50"/>
      <c r="CVI377" s="50"/>
      <c r="CVJ377" s="50"/>
      <c r="CVK377" s="50"/>
      <c r="CVL377" s="50"/>
      <c r="CVM377" s="50"/>
      <c r="CVN377" s="50"/>
      <c r="CVO377" s="50"/>
      <c r="CVP377" s="50"/>
      <c r="CVQ377" s="50"/>
      <c r="CVR377" s="50"/>
      <c r="CVS377" s="50"/>
      <c r="CVT377" s="50"/>
      <c r="CVU377" s="50"/>
      <c r="CVV377" s="50"/>
      <c r="CVW377" s="50"/>
      <c r="CVX377" s="50"/>
      <c r="CVY377" s="50"/>
      <c r="CVZ377" s="50"/>
      <c r="CWA377" s="50"/>
      <c r="CWB377" s="50"/>
      <c r="CWC377" s="50"/>
      <c r="CWD377" s="50"/>
      <c r="CWE377" s="50"/>
      <c r="CWF377" s="50"/>
      <c r="CWG377" s="50"/>
      <c r="CWH377" s="50"/>
      <c r="CWI377" s="50"/>
      <c r="CWJ377" s="50"/>
      <c r="CWK377" s="50"/>
      <c r="CWL377" s="50"/>
      <c r="CWM377" s="50"/>
      <c r="CWN377" s="50"/>
      <c r="CWO377" s="50"/>
      <c r="CWP377" s="50"/>
      <c r="CWQ377" s="50"/>
      <c r="CWR377" s="50"/>
      <c r="CWS377" s="50"/>
      <c r="CWT377" s="50"/>
      <c r="CWU377" s="50"/>
      <c r="CWV377" s="50"/>
      <c r="CWW377" s="50"/>
      <c r="CWX377" s="50"/>
      <c r="CWY377" s="50"/>
      <c r="CWZ377" s="50"/>
      <c r="CXA377" s="50"/>
      <c r="CXB377" s="50"/>
      <c r="CXC377" s="50"/>
      <c r="CXD377" s="50"/>
      <c r="CXE377" s="50"/>
      <c r="CXF377" s="50"/>
      <c r="CXG377" s="50"/>
      <c r="CXH377" s="50"/>
      <c r="CXI377" s="50"/>
      <c r="CXJ377" s="50"/>
      <c r="CXK377" s="50"/>
      <c r="CXL377" s="50"/>
      <c r="CXM377" s="50"/>
      <c r="CXN377" s="50"/>
      <c r="CXO377" s="50"/>
      <c r="CXP377" s="50"/>
      <c r="CXQ377" s="50"/>
      <c r="CXR377" s="50"/>
      <c r="CXS377" s="50"/>
      <c r="CXT377" s="50"/>
      <c r="CXU377" s="50"/>
      <c r="CXV377" s="50"/>
      <c r="CXW377" s="50"/>
      <c r="CXX377" s="50"/>
      <c r="CXY377" s="50"/>
      <c r="CXZ377" s="50"/>
      <c r="CYA377" s="50"/>
      <c r="CYB377" s="50"/>
      <c r="CYC377" s="50"/>
      <c r="CYD377" s="50"/>
      <c r="CYE377" s="50"/>
      <c r="CYF377" s="50"/>
      <c r="CYG377" s="50"/>
      <c r="CYH377" s="50"/>
      <c r="CYI377" s="50"/>
      <c r="CYJ377" s="50"/>
      <c r="CYK377" s="50"/>
      <c r="CYL377" s="50"/>
      <c r="CYM377" s="50"/>
      <c r="CYN377" s="50"/>
      <c r="CYO377" s="50"/>
      <c r="CYP377" s="50"/>
      <c r="CYQ377" s="50"/>
      <c r="CYR377" s="50"/>
      <c r="CYS377" s="50"/>
      <c r="CYT377" s="50"/>
      <c r="CYU377" s="50"/>
      <c r="CYV377" s="50"/>
      <c r="CYW377" s="50"/>
      <c r="CYX377" s="50"/>
      <c r="CYY377" s="50"/>
      <c r="CYZ377" s="50"/>
      <c r="CZA377" s="50"/>
      <c r="CZB377" s="50"/>
      <c r="CZC377" s="50"/>
      <c r="CZD377" s="50"/>
      <c r="CZE377" s="50"/>
      <c r="CZF377" s="50"/>
      <c r="CZG377" s="50"/>
      <c r="CZH377" s="50"/>
      <c r="CZI377" s="50"/>
      <c r="CZJ377" s="50"/>
      <c r="CZK377" s="50"/>
      <c r="CZL377" s="50"/>
      <c r="CZM377" s="50"/>
      <c r="CZN377" s="50"/>
      <c r="CZO377" s="50"/>
      <c r="CZP377" s="50"/>
      <c r="CZQ377" s="50"/>
      <c r="CZR377" s="50"/>
      <c r="CZS377" s="50"/>
      <c r="CZT377" s="50"/>
      <c r="CZU377" s="50"/>
      <c r="CZV377" s="50"/>
      <c r="CZW377" s="50"/>
      <c r="CZX377" s="50"/>
      <c r="CZY377" s="50"/>
      <c r="CZZ377" s="50"/>
      <c r="DAA377" s="50"/>
      <c r="DAB377" s="50"/>
      <c r="DAC377" s="50"/>
      <c r="DAD377" s="50"/>
      <c r="DAE377" s="50"/>
      <c r="DAF377" s="50"/>
      <c r="DAG377" s="50"/>
      <c r="DAH377" s="50"/>
      <c r="DAI377" s="50"/>
      <c r="DAJ377" s="50"/>
      <c r="DAK377" s="50"/>
      <c r="DAL377" s="50"/>
      <c r="DAM377" s="50"/>
      <c r="DAN377" s="50"/>
      <c r="DAO377" s="50"/>
      <c r="DAP377" s="50"/>
      <c r="DAQ377" s="50"/>
      <c r="DAR377" s="50"/>
      <c r="DAS377" s="50"/>
      <c r="DAT377" s="50"/>
      <c r="DAU377" s="50"/>
      <c r="DAV377" s="50"/>
      <c r="DAW377" s="50"/>
      <c r="DAX377" s="50"/>
      <c r="DAY377" s="50"/>
      <c r="DAZ377" s="50"/>
      <c r="DBA377" s="50"/>
      <c r="DBB377" s="50"/>
      <c r="DBC377" s="50"/>
      <c r="DBD377" s="50"/>
      <c r="DBE377" s="50"/>
      <c r="DBF377" s="50"/>
      <c r="DBG377" s="50"/>
      <c r="DBH377" s="50"/>
      <c r="DBI377" s="50"/>
      <c r="DBJ377" s="50"/>
      <c r="DBK377" s="50"/>
      <c r="DBL377" s="50"/>
      <c r="DBM377" s="50"/>
      <c r="DBN377" s="50"/>
      <c r="DBO377" s="50"/>
      <c r="DBP377" s="50"/>
      <c r="DBQ377" s="50"/>
      <c r="DBR377" s="50"/>
      <c r="DBS377" s="50"/>
      <c r="DBT377" s="50"/>
      <c r="DBU377" s="50"/>
      <c r="DBV377" s="50"/>
      <c r="DBW377" s="50"/>
      <c r="DBX377" s="50"/>
      <c r="DBY377" s="50"/>
      <c r="DBZ377" s="50"/>
      <c r="DCA377" s="50"/>
      <c r="DCB377" s="50"/>
      <c r="DCC377" s="50"/>
      <c r="DCD377" s="50"/>
      <c r="DCE377" s="50"/>
      <c r="DCF377" s="50"/>
      <c r="DCG377" s="50"/>
      <c r="DCH377" s="50"/>
      <c r="DCI377" s="50"/>
      <c r="DCJ377" s="50"/>
      <c r="DCK377" s="50"/>
      <c r="DCL377" s="50"/>
      <c r="DCM377" s="50"/>
      <c r="DCN377" s="50"/>
      <c r="DCO377" s="50"/>
      <c r="DCP377" s="50"/>
      <c r="DCQ377" s="50"/>
      <c r="DCR377" s="50"/>
      <c r="DCS377" s="50"/>
      <c r="DCT377" s="50"/>
      <c r="DCU377" s="50"/>
      <c r="DCV377" s="50"/>
      <c r="DCW377" s="50"/>
      <c r="DCX377" s="50"/>
      <c r="DCY377" s="50"/>
      <c r="DCZ377" s="50"/>
      <c r="DDA377" s="50"/>
      <c r="DDB377" s="50"/>
      <c r="DDC377" s="50"/>
      <c r="DDD377" s="50"/>
      <c r="DDE377" s="50"/>
      <c r="DDF377" s="50"/>
      <c r="DDG377" s="50"/>
      <c r="DDH377" s="50"/>
      <c r="DDI377" s="50"/>
      <c r="DDJ377" s="50"/>
      <c r="DDK377" s="50"/>
      <c r="DDL377" s="50"/>
      <c r="DDM377" s="50"/>
      <c r="DDN377" s="50"/>
      <c r="DDO377" s="50"/>
      <c r="DDP377" s="50"/>
      <c r="DDQ377" s="50"/>
      <c r="DDR377" s="50"/>
      <c r="DDS377" s="50"/>
      <c r="DDT377" s="50"/>
      <c r="DDU377" s="50"/>
      <c r="DDV377" s="50"/>
      <c r="DDW377" s="50"/>
      <c r="DDX377" s="50"/>
      <c r="DDY377" s="50"/>
      <c r="DDZ377" s="50"/>
      <c r="DEA377" s="50"/>
      <c r="DEB377" s="50"/>
      <c r="DEC377" s="50"/>
      <c r="DED377" s="50"/>
      <c r="DEE377" s="50"/>
      <c r="DEF377" s="50"/>
      <c r="DEG377" s="50"/>
      <c r="DEH377" s="50"/>
      <c r="DEI377" s="50"/>
      <c r="DEJ377" s="50"/>
      <c r="DEK377" s="50"/>
      <c r="DEL377" s="50"/>
      <c r="DEM377" s="50"/>
      <c r="DEN377" s="50"/>
      <c r="DEO377" s="50"/>
      <c r="DEP377" s="50"/>
      <c r="DEQ377" s="50"/>
      <c r="DER377" s="50"/>
      <c r="DES377" s="50"/>
      <c r="DET377" s="50"/>
      <c r="DEU377" s="50"/>
      <c r="DEV377" s="50"/>
      <c r="DEW377" s="50"/>
      <c r="DEX377" s="50"/>
      <c r="DEY377" s="50"/>
      <c r="DEZ377" s="50"/>
      <c r="DFA377" s="50"/>
      <c r="DFB377" s="50"/>
      <c r="DFC377" s="50"/>
      <c r="DFD377" s="50"/>
      <c r="DFE377" s="50"/>
      <c r="DFF377" s="50"/>
      <c r="DFG377" s="50"/>
      <c r="DFH377" s="50"/>
      <c r="DFI377" s="50"/>
      <c r="DFJ377" s="50"/>
      <c r="DFK377" s="50"/>
      <c r="DFL377" s="50"/>
      <c r="DFM377" s="50"/>
      <c r="DFN377" s="50"/>
      <c r="DFO377" s="50"/>
      <c r="DFP377" s="50"/>
      <c r="DFQ377" s="50"/>
      <c r="DFR377" s="50"/>
      <c r="DFS377" s="50"/>
      <c r="DFT377" s="50"/>
      <c r="DFU377" s="50"/>
      <c r="DFV377" s="50"/>
      <c r="DFW377" s="50"/>
      <c r="DFX377" s="50"/>
      <c r="DFY377" s="50"/>
      <c r="DFZ377" s="50"/>
      <c r="DGA377" s="50"/>
      <c r="DGB377" s="50"/>
      <c r="DGC377" s="50"/>
      <c r="DGD377" s="50"/>
      <c r="DGE377" s="50"/>
      <c r="DGF377" s="50"/>
      <c r="DGG377" s="50"/>
      <c r="DGH377" s="50"/>
      <c r="DGI377" s="50"/>
      <c r="DGJ377" s="50"/>
      <c r="DGK377" s="50"/>
      <c r="DGL377" s="50"/>
      <c r="DGM377" s="50"/>
      <c r="DGN377" s="50"/>
      <c r="DGO377" s="50"/>
      <c r="DGP377" s="50"/>
      <c r="DGQ377" s="50"/>
      <c r="DGR377" s="50"/>
      <c r="DGS377" s="50"/>
      <c r="DGT377" s="50"/>
      <c r="DGU377" s="50"/>
      <c r="DGV377" s="50"/>
      <c r="DGW377" s="50"/>
      <c r="DGX377" s="50"/>
      <c r="DGY377" s="50"/>
      <c r="DGZ377" s="50"/>
      <c r="DHA377" s="50"/>
      <c r="DHB377" s="50"/>
      <c r="DHC377" s="50"/>
      <c r="DHD377" s="50"/>
      <c r="DHE377" s="50"/>
      <c r="DHF377" s="50"/>
      <c r="DHG377" s="50"/>
      <c r="DHH377" s="50"/>
      <c r="DHI377" s="50"/>
      <c r="DHJ377" s="50"/>
      <c r="DHK377" s="50"/>
      <c r="DHL377" s="50"/>
      <c r="DHM377" s="50"/>
      <c r="DHN377" s="50"/>
      <c r="DHO377" s="50"/>
      <c r="DHP377" s="50"/>
      <c r="DHQ377" s="50"/>
      <c r="DHR377" s="50"/>
      <c r="DHS377" s="50"/>
      <c r="DHT377" s="50"/>
      <c r="DHU377" s="50"/>
      <c r="DHV377" s="50"/>
      <c r="DHW377" s="50"/>
      <c r="DHX377" s="50"/>
      <c r="DHY377" s="50"/>
      <c r="DHZ377" s="50"/>
      <c r="DIA377" s="50"/>
      <c r="DIB377" s="50"/>
      <c r="DIC377" s="50"/>
      <c r="DID377" s="50"/>
      <c r="DIE377" s="50"/>
      <c r="DIF377" s="50"/>
      <c r="DIG377" s="50"/>
      <c r="DIH377" s="50"/>
      <c r="DII377" s="50"/>
      <c r="DIJ377" s="50"/>
      <c r="DIK377" s="50"/>
      <c r="DIL377" s="50"/>
      <c r="DIM377" s="50"/>
      <c r="DIN377" s="50"/>
      <c r="DIO377" s="50"/>
      <c r="DIP377" s="50"/>
      <c r="DIQ377" s="50"/>
      <c r="DIR377" s="50"/>
      <c r="DIS377" s="50"/>
      <c r="DIT377" s="50"/>
      <c r="DIU377" s="50"/>
      <c r="DIV377" s="50"/>
      <c r="DIW377" s="50"/>
      <c r="DIX377" s="50"/>
      <c r="DIY377" s="50"/>
      <c r="DIZ377" s="50"/>
      <c r="DJA377" s="50"/>
      <c r="DJB377" s="50"/>
      <c r="DJC377" s="50"/>
      <c r="DJD377" s="50"/>
      <c r="DJE377" s="50"/>
      <c r="DJF377" s="50"/>
      <c r="DJG377" s="50"/>
      <c r="DJH377" s="50"/>
      <c r="DJI377" s="50"/>
      <c r="DJJ377" s="50"/>
      <c r="DJK377" s="50"/>
      <c r="DJL377" s="50"/>
      <c r="DJM377" s="50"/>
      <c r="DJN377" s="50"/>
      <c r="DJO377" s="50"/>
      <c r="DJP377" s="50"/>
      <c r="DJQ377" s="50"/>
      <c r="DJR377" s="50"/>
      <c r="DJS377" s="50"/>
      <c r="DJT377" s="50"/>
      <c r="DJU377" s="50"/>
      <c r="DJV377" s="50"/>
      <c r="DJW377" s="50"/>
      <c r="DJX377" s="50"/>
      <c r="DJY377" s="50"/>
      <c r="DJZ377" s="50"/>
      <c r="DKA377" s="50"/>
      <c r="DKB377" s="50"/>
      <c r="DKC377" s="50"/>
      <c r="DKD377" s="50"/>
      <c r="DKE377" s="50"/>
      <c r="DKF377" s="50"/>
      <c r="DKG377" s="50"/>
      <c r="DKH377" s="50"/>
      <c r="DKI377" s="50"/>
      <c r="DKJ377" s="50"/>
      <c r="DKK377" s="50"/>
      <c r="DKL377" s="50"/>
      <c r="DKM377" s="50"/>
      <c r="DKN377" s="50"/>
      <c r="DKO377" s="50"/>
      <c r="DKP377" s="50"/>
      <c r="DKQ377" s="50"/>
      <c r="DKR377" s="50"/>
      <c r="DKS377" s="50"/>
      <c r="DKT377" s="50"/>
      <c r="DKU377" s="50"/>
      <c r="DKV377" s="50"/>
      <c r="DKW377" s="50"/>
      <c r="DKX377" s="50"/>
      <c r="DKY377" s="50"/>
      <c r="DKZ377" s="50"/>
      <c r="DLA377" s="50"/>
      <c r="DLB377" s="50"/>
      <c r="DLC377" s="50"/>
      <c r="DLD377" s="50"/>
      <c r="DLE377" s="50"/>
      <c r="DLF377" s="50"/>
      <c r="DLG377" s="50"/>
      <c r="DLH377" s="50"/>
      <c r="DLI377" s="50"/>
      <c r="DLJ377" s="50"/>
      <c r="DLK377" s="50"/>
      <c r="DLL377" s="50"/>
      <c r="DLM377" s="50"/>
      <c r="DLN377" s="50"/>
      <c r="DLO377" s="50"/>
      <c r="DLP377" s="50"/>
      <c r="DLQ377" s="50"/>
      <c r="DLR377" s="50"/>
      <c r="DLS377" s="50"/>
      <c r="DLT377" s="50"/>
      <c r="DLU377" s="50"/>
      <c r="DLV377" s="50"/>
      <c r="DLW377" s="50"/>
      <c r="DLX377" s="50"/>
      <c r="DLY377" s="50"/>
      <c r="DLZ377" s="50"/>
      <c r="DMA377" s="50"/>
      <c r="DMB377" s="50"/>
      <c r="DMC377" s="50"/>
      <c r="DMD377" s="50"/>
      <c r="DME377" s="50"/>
      <c r="DMF377" s="50"/>
      <c r="DMG377" s="50"/>
      <c r="DMH377" s="50"/>
      <c r="DMI377" s="50"/>
      <c r="DMJ377" s="50"/>
      <c r="DMK377" s="50"/>
      <c r="DML377" s="50"/>
      <c r="DMM377" s="50"/>
      <c r="DMN377" s="50"/>
      <c r="DMO377" s="50"/>
      <c r="DMP377" s="50"/>
      <c r="DMQ377" s="50"/>
      <c r="DMR377" s="50"/>
      <c r="DMS377" s="50"/>
      <c r="DMT377" s="50"/>
      <c r="DMU377" s="50"/>
      <c r="DMV377" s="50"/>
      <c r="DMW377" s="50"/>
      <c r="DMX377" s="50"/>
      <c r="DMY377" s="50"/>
      <c r="DMZ377" s="50"/>
      <c r="DNA377" s="50"/>
      <c r="DNB377" s="50"/>
      <c r="DNC377" s="50"/>
      <c r="DND377" s="50"/>
      <c r="DNE377" s="50"/>
      <c r="DNF377" s="50"/>
      <c r="DNG377" s="50"/>
      <c r="DNH377" s="50"/>
      <c r="DNI377" s="50"/>
      <c r="DNJ377" s="50"/>
      <c r="DNK377" s="50"/>
      <c r="DNL377" s="50"/>
      <c r="DNM377" s="50"/>
      <c r="DNN377" s="50"/>
      <c r="DNO377" s="50"/>
      <c r="DNP377" s="50"/>
      <c r="DNQ377" s="50"/>
      <c r="DNR377" s="50"/>
      <c r="DNS377" s="50"/>
      <c r="DNT377" s="50"/>
      <c r="DNU377" s="50"/>
      <c r="DNV377" s="50"/>
      <c r="DNW377" s="50"/>
      <c r="DNX377" s="50"/>
      <c r="DNY377" s="50"/>
      <c r="DNZ377" s="50"/>
      <c r="DOA377" s="50"/>
      <c r="DOB377" s="50"/>
      <c r="DOC377" s="50"/>
      <c r="DOD377" s="50"/>
      <c r="DOE377" s="50"/>
      <c r="DOF377" s="50"/>
      <c r="DOG377" s="50"/>
      <c r="DOH377" s="50"/>
      <c r="DOI377" s="50"/>
      <c r="DOJ377" s="50"/>
      <c r="DOK377" s="50"/>
      <c r="DOL377" s="50"/>
      <c r="DOM377" s="50"/>
      <c r="DON377" s="50"/>
      <c r="DOO377" s="50"/>
      <c r="DOP377" s="50"/>
      <c r="DOQ377" s="50"/>
      <c r="DOR377" s="50"/>
      <c r="DOS377" s="50"/>
      <c r="DOT377" s="50"/>
      <c r="DOU377" s="50"/>
      <c r="DOV377" s="50"/>
      <c r="DOW377" s="50"/>
      <c r="DOX377" s="50"/>
      <c r="DOY377" s="50"/>
      <c r="DOZ377" s="50"/>
      <c r="DPA377" s="50"/>
      <c r="DPB377" s="50"/>
      <c r="DPC377" s="50"/>
      <c r="DPD377" s="50"/>
      <c r="DPE377" s="50"/>
      <c r="DPF377" s="50"/>
      <c r="DPG377" s="50"/>
      <c r="DPH377" s="50"/>
      <c r="DPI377" s="50"/>
      <c r="DPJ377" s="50"/>
      <c r="DPK377" s="50"/>
      <c r="DPL377" s="50"/>
      <c r="DPM377" s="50"/>
      <c r="DPN377" s="50"/>
      <c r="DPO377" s="50"/>
      <c r="DPP377" s="50"/>
      <c r="DPQ377" s="50"/>
      <c r="DPR377" s="50"/>
      <c r="DPS377" s="50"/>
      <c r="DPT377" s="50"/>
      <c r="DPU377" s="50"/>
      <c r="DPV377" s="50"/>
      <c r="DPW377" s="50"/>
      <c r="DPX377" s="50"/>
      <c r="DPY377" s="50"/>
      <c r="DPZ377" s="50"/>
      <c r="DQA377" s="50"/>
      <c r="DQB377" s="50"/>
      <c r="DQC377" s="50"/>
      <c r="DQD377" s="50"/>
      <c r="DQE377" s="50"/>
      <c r="DQF377" s="50"/>
      <c r="DQG377" s="50"/>
      <c r="DQH377" s="50"/>
      <c r="DQI377" s="50"/>
      <c r="DQJ377" s="50"/>
      <c r="DQK377" s="50"/>
      <c r="DQL377" s="50"/>
      <c r="DQM377" s="50"/>
      <c r="DQN377" s="50"/>
      <c r="DQO377" s="50"/>
      <c r="DQP377" s="50"/>
      <c r="DQQ377" s="50"/>
      <c r="DQR377" s="50"/>
      <c r="DQS377" s="50"/>
      <c r="DQT377" s="50"/>
      <c r="DQU377" s="50"/>
      <c r="DQV377" s="50"/>
      <c r="DQW377" s="50"/>
      <c r="DQX377" s="50"/>
      <c r="DQY377" s="50"/>
      <c r="DQZ377" s="50"/>
      <c r="DRA377" s="50"/>
      <c r="DRB377" s="50"/>
      <c r="DRC377" s="50"/>
      <c r="DRD377" s="50"/>
      <c r="DRE377" s="50"/>
      <c r="DRF377" s="50"/>
      <c r="DRG377" s="50"/>
      <c r="DRH377" s="50"/>
      <c r="DRI377" s="50"/>
      <c r="DRJ377" s="50"/>
      <c r="DRK377" s="50"/>
      <c r="DRL377" s="50"/>
      <c r="DRM377" s="50"/>
      <c r="DRN377" s="50"/>
      <c r="DRO377" s="50"/>
      <c r="DRP377" s="50"/>
      <c r="DRQ377" s="50"/>
      <c r="DRR377" s="50"/>
      <c r="DRS377" s="50"/>
      <c r="DRT377" s="50"/>
      <c r="DRU377" s="50"/>
      <c r="DRV377" s="50"/>
      <c r="DRW377" s="50"/>
      <c r="DRX377" s="50"/>
      <c r="DRY377" s="50"/>
      <c r="DRZ377" s="50"/>
      <c r="DSA377" s="50"/>
      <c r="DSB377" s="50"/>
      <c r="DSC377" s="50"/>
      <c r="DSD377" s="50"/>
      <c r="DSE377" s="50"/>
      <c r="DSF377" s="50"/>
      <c r="DSG377" s="50"/>
      <c r="DSH377" s="50"/>
      <c r="DSI377" s="50"/>
      <c r="DSJ377" s="50"/>
      <c r="DSK377" s="50"/>
      <c r="DSL377" s="50"/>
      <c r="DSM377" s="50"/>
      <c r="DSN377" s="50"/>
      <c r="DSO377" s="50"/>
      <c r="DSP377" s="50"/>
      <c r="DSQ377" s="50"/>
      <c r="DSR377" s="50"/>
      <c r="DSS377" s="50"/>
      <c r="DST377" s="50"/>
      <c r="DSU377" s="50"/>
      <c r="DSV377" s="50"/>
      <c r="DSW377" s="50"/>
      <c r="DSX377" s="50"/>
      <c r="DSY377" s="50"/>
      <c r="DSZ377" s="50"/>
      <c r="DTA377" s="50"/>
      <c r="DTB377" s="50"/>
      <c r="DTC377" s="50"/>
      <c r="DTD377" s="50"/>
      <c r="DTE377" s="50"/>
      <c r="DTF377" s="50"/>
      <c r="DTG377" s="50"/>
      <c r="DTH377" s="50"/>
      <c r="DTI377" s="50"/>
      <c r="DTJ377" s="50"/>
      <c r="DTK377" s="50"/>
      <c r="DTL377" s="50"/>
      <c r="DTM377" s="50"/>
      <c r="DTN377" s="50"/>
      <c r="DTO377" s="50"/>
      <c r="DTP377" s="50"/>
      <c r="DTQ377" s="50"/>
      <c r="DTR377" s="50"/>
      <c r="DTS377" s="50"/>
      <c r="DTT377" s="50"/>
      <c r="DTU377" s="50"/>
      <c r="DTV377" s="50"/>
      <c r="DTW377" s="50"/>
      <c r="DTX377" s="50"/>
      <c r="DTY377" s="50"/>
      <c r="DTZ377" s="50"/>
      <c r="DUA377" s="50"/>
      <c r="DUB377" s="50"/>
      <c r="DUC377" s="50"/>
      <c r="DUD377" s="50"/>
      <c r="DUE377" s="50"/>
      <c r="DUF377" s="50"/>
      <c r="DUG377" s="50"/>
      <c r="DUH377" s="50"/>
      <c r="DUI377" s="50"/>
      <c r="DUJ377" s="50"/>
      <c r="DUK377" s="50"/>
      <c r="DUL377" s="50"/>
      <c r="DUM377" s="50"/>
      <c r="DUN377" s="50"/>
      <c r="DUO377" s="50"/>
      <c r="DUP377" s="50"/>
      <c r="DUQ377" s="50"/>
      <c r="DUR377" s="50"/>
      <c r="DUS377" s="50"/>
      <c r="DUT377" s="50"/>
      <c r="DUU377" s="50"/>
      <c r="DUV377" s="50"/>
      <c r="DUW377" s="50"/>
      <c r="DUX377" s="50"/>
      <c r="DUY377" s="50"/>
      <c r="DUZ377" s="50"/>
      <c r="DVA377" s="50"/>
      <c r="DVB377" s="50"/>
      <c r="DVC377" s="50"/>
      <c r="DVD377" s="50"/>
      <c r="DVE377" s="50"/>
      <c r="DVF377" s="50"/>
      <c r="DVG377" s="50"/>
      <c r="DVH377" s="50"/>
      <c r="DVI377" s="50"/>
      <c r="DVJ377" s="50"/>
      <c r="DVK377" s="50"/>
      <c r="DVL377" s="50"/>
      <c r="DVM377" s="50"/>
      <c r="DVN377" s="50"/>
      <c r="DVO377" s="50"/>
      <c r="DVP377" s="50"/>
      <c r="DVQ377" s="50"/>
      <c r="DVR377" s="50"/>
      <c r="DVS377" s="50"/>
      <c r="DVT377" s="50"/>
      <c r="DVU377" s="50"/>
      <c r="DVV377" s="50"/>
      <c r="DVW377" s="50"/>
      <c r="DVX377" s="50"/>
      <c r="DVY377" s="50"/>
      <c r="DVZ377" s="50"/>
      <c r="DWA377" s="50"/>
      <c r="DWB377" s="50"/>
      <c r="DWC377" s="50"/>
      <c r="DWD377" s="50"/>
      <c r="DWE377" s="50"/>
      <c r="DWF377" s="50"/>
      <c r="DWG377" s="50"/>
      <c r="DWH377" s="50"/>
      <c r="DWI377" s="50"/>
      <c r="DWJ377" s="50"/>
      <c r="DWK377" s="50"/>
      <c r="DWL377" s="50"/>
      <c r="DWM377" s="50"/>
      <c r="DWN377" s="50"/>
      <c r="DWO377" s="50"/>
      <c r="DWP377" s="50"/>
      <c r="DWQ377" s="50"/>
      <c r="DWR377" s="50"/>
      <c r="DWS377" s="50"/>
      <c r="DWT377" s="50"/>
      <c r="DWU377" s="50"/>
      <c r="DWV377" s="50"/>
      <c r="DWW377" s="50"/>
      <c r="DWX377" s="50"/>
      <c r="DWY377" s="50"/>
      <c r="DWZ377" s="50"/>
      <c r="DXA377" s="50"/>
      <c r="DXB377" s="50"/>
      <c r="DXC377" s="50"/>
      <c r="DXD377" s="50"/>
      <c r="DXE377" s="50"/>
      <c r="DXF377" s="50"/>
      <c r="DXG377" s="50"/>
      <c r="DXH377" s="50"/>
      <c r="DXI377" s="50"/>
      <c r="DXJ377" s="50"/>
      <c r="DXK377" s="50"/>
      <c r="DXL377" s="50"/>
      <c r="DXM377" s="50"/>
      <c r="DXN377" s="50"/>
      <c r="DXO377" s="50"/>
      <c r="DXP377" s="50"/>
      <c r="DXQ377" s="50"/>
      <c r="DXR377" s="50"/>
      <c r="DXS377" s="50"/>
      <c r="DXT377" s="50"/>
      <c r="DXU377" s="50"/>
      <c r="DXV377" s="50"/>
      <c r="DXW377" s="50"/>
      <c r="DXX377" s="50"/>
      <c r="DXY377" s="50"/>
      <c r="DXZ377" s="50"/>
      <c r="DYA377" s="50"/>
      <c r="DYB377" s="50"/>
      <c r="DYC377" s="50"/>
      <c r="DYD377" s="50"/>
      <c r="DYE377" s="50"/>
      <c r="DYF377" s="50"/>
      <c r="DYG377" s="50"/>
      <c r="DYH377" s="50"/>
      <c r="DYI377" s="50"/>
      <c r="DYJ377" s="50"/>
      <c r="DYK377" s="50"/>
      <c r="DYL377" s="50"/>
      <c r="DYM377" s="50"/>
      <c r="DYN377" s="50"/>
      <c r="DYO377" s="50"/>
      <c r="DYP377" s="50"/>
      <c r="DYQ377" s="50"/>
      <c r="DYR377" s="50"/>
      <c r="DYS377" s="50"/>
      <c r="DYT377" s="50"/>
      <c r="DYU377" s="50"/>
      <c r="DYV377" s="50"/>
      <c r="DYW377" s="50"/>
      <c r="DYX377" s="50"/>
      <c r="DYY377" s="50"/>
      <c r="DYZ377" s="50"/>
      <c r="DZA377" s="50"/>
      <c r="DZB377" s="50"/>
      <c r="DZC377" s="50"/>
      <c r="DZD377" s="50"/>
      <c r="DZE377" s="50"/>
      <c r="DZF377" s="50"/>
      <c r="DZG377" s="50"/>
      <c r="DZH377" s="50"/>
      <c r="DZI377" s="50"/>
      <c r="DZJ377" s="50"/>
      <c r="DZK377" s="50"/>
      <c r="DZL377" s="50"/>
      <c r="DZM377" s="50"/>
      <c r="DZN377" s="50"/>
      <c r="DZO377" s="50"/>
      <c r="DZP377" s="50"/>
      <c r="DZQ377" s="50"/>
      <c r="DZR377" s="50"/>
      <c r="DZS377" s="50"/>
      <c r="DZT377" s="50"/>
      <c r="DZU377" s="50"/>
      <c r="DZV377" s="50"/>
      <c r="DZW377" s="50"/>
      <c r="DZX377" s="50"/>
      <c r="DZY377" s="50"/>
      <c r="DZZ377" s="50"/>
      <c r="EAA377" s="50"/>
      <c r="EAB377" s="50"/>
      <c r="EAC377" s="50"/>
      <c r="EAD377" s="50"/>
      <c r="EAE377" s="50"/>
      <c r="EAF377" s="50"/>
      <c r="EAG377" s="50"/>
      <c r="EAH377" s="50"/>
      <c r="EAI377" s="50"/>
      <c r="EAJ377" s="50"/>
      <c r="EAK377" s="50"/>
      <c r="EAL377" s="50"/>
      <c r="EAM377" s="50"/>
      <c r="EAN377" s="50"/>
      <c r="EAO377" s="50"/>
      <c r="EAP377" s="50"/>
      <c r="EAQ377" s="50"/>
      <c r="EAR377" s="50"/>
      <c r="EAS377" s="50"/>
      <c r="EAT377" s="50"/>
      <c r="EAU377" s="50"/>
      <c r="EAV377" s="50"/>
      <c r="EAW377" s="50"/>
      <c r="EAX377" s="50"/>
      <c r="EAY377" s="50"/>
      <c r="EAZ377" s="50"/>
      <c r="EBA377" s="50"/>
      <c r="EBB377" s="50"/>
      <c r="EBC377" s="50"/>
      <c r="EBD377" s="50"/>
      <c r="EBE377" s="50"/>
      <c r="EBF377" s="50"/>
      <c r="EBG377" s="50"/>
      <c r="EBH377" s="50"/>
      <c r="EBI377" s="50"/>
      <c r="EBJ377" s="50"/>
      <c r="EBK377" s="50"/>
      <c r="EBL377" s="50"/>
      <c r="EBM377" s="50"/>
      <c r="EBN377" s="50"/>
      <c r="EBO377" s="50"/>
      <c r="EBP377" s="50"/>
      <c r="EBQ377" s="50"/>
      <c r="EBR377" s="50"/>
      <c r="EBS377" s="50"/>
      <c r="EBT377" s="50"/>
      <c r="EBU377" s="50"/>
      <c r="EBV377" s="50"/>
      <c r="EBW377" s="50"/>
      <c r="EBX377" s="50"/>
      <c r="EBY377" s="50"/>
      <c r="EBZ377" s="50"/>
      <c r="ECA377" s="50"/>
      <c r="ECB377" s="50"/>
      <c r="ECC377" s="50"/>
      <c r="ECD377" s="50"/>
      <c r="ECE377" s="50"/>
      <c r="ECF377" s="50"/>
      <c r="ECG377" s="50"/>
      <c r="ECH377" s="50"/>
      <c r="ECI377" s="50"/>
      <c r="ECJ377" s="50"/>
      <c r="ECK377" s="50"/>
      <c r="ECL377" s="50"/>
      <c r="ECM377" s="50"/>
      <c r="ECN377" s="50"/>
      <c r="ECO377" s="50"/>
      <c r="ECP377" s="50"/>
      <c r="ECQ377" s="50"/>
      <c r="ECR377" s="50"/>
      <c r="ECS377" s="50"/>
      <c r="ECT377" s="50"/>
      <c r="ECU377" s="50"/>
      <c r="ECV377" s="50"/>
      <c r="ECW377" s="50"/>
      <c r="ECX377" s="50"/>
      <c r="ECY377" s="50"/>
      <c r="ECZ377" s="50"/>
      <c r="EDA377" s="50"/>
      <c r="EDB377" s="50"/>
      <c r="EDC377" s="50"/>
      <c r="EDD377" s="50"/>
      <c r="EDE377" s="50"/>
      <c r="EDF377" s="50"/>
      <c r="EDG377" s="50"/>
      <c r="EDH377" s="50"/>
      <c r="EDI377" s="50"/>
      <c r="EDJ377" s="50"/>
      <c r="EDK377" s="50"/>
      <c r="EDL377" s="50"/>
      <c r="EDM377" s="50"/>
      <c r="EDN377" s="50"/>
      <c r="EDO377" s="50"/>
      <c r="EDP377" s="50"/>
      <c r="EDQ377" s="50"/>
      <c r="EDR377" s="50"/>
      <c r="EDS377" s="50"/>
      <c r="EDT377" s="50"/>
      <c r="EDU377" s="50"/>
      <c r="EDV377" s="50"/>
      <c r="EDW377" s="50"/>
      <c r="EDX377" s="50"/>
      <c r="EDY377" s="50"/>
      <c r="EDZ377" s="50"/>
      <c r="EEA377" s="50"/>
      <c r="EEB377" s="50"/>
      <c r="EEC377" s="50"/>
      <c r="EED377" s="50"/>
      <c r="EEE377" s="50"/>
      <c r="EEF377" s="50"/>
      <c r="EEG377" s="50"/>
      <c r="EEH377" s="50"/>
      <c r="EEI377" s="50"/>
      <c r="EEJ377" s="50"/>
      <c r="EEK377" s="50"/>
      <c r="EEL377" s="50"/>
      <c r="EEM377" s="50"/>
      <c r="EEN377" s="50"/>
      <c r="EEO377" s="50"/>
      <c r="EEP377" s="50"/>
      <c r="EEQ377" s="50"/>
      <c r="EER377" s="50"/>
      <c r="EES377" s="50"/>
      <c r="EET377" s="50"/>
      <c r="EEU377" s="50"/>
      <c r="EEV377" s="50"/>
      <c r="EEW377" s="50"/>
      <c r="EEX377" s="50"/>
      <c r="EEY377" s="50"/>
      <c r="EEZ377" s="50"/>
      <c r="EFA377" s="50"/>
      <c r="EFB377" s="50"/>
      <c r="EFC377" s="50"/>
      <c r="EFD377" s="50"/>
      <c r="EFE377" s="50"/>
      <c r="EFF377" s="50"/>
      <c r="EFG377" s="50"/>
      <c r="EFH377" s="50"/>
      <c r="EFI377" s="50"/>
      <c r="EFJ377" s="50"/>
      <c r="EFK377" s="50"/>
      <c r="EFL377" s="50"/>
      <c r="EFM377" s="50"/>
      <c r="EFN377" s="50"/>
      <c r="EFO377" s="50"/>
      <c r="EFP377" s="50"/>
      <c r="EFQ377" s="50"/>
      <c r="EFR377" s="50"/>
      <c r="EFS377" s="50"/>
      <c r="EFT377" s="50"/>
      <c r="EFU377" s="50"/>
      <c r="EFV377" s="50"/>
      <c r="EFW377" s="50"/>
      <c r="EFX377" s="50"/>
      <c r="EFY377" s="50"/>
      <c r="EFZ377" s="50"/>
      <c r="EGA377" s="50"/>
      <c r="EGB377" s="50"/>
      <c r="EGC377" s="50"/>
      <c r="EGD377" s="50"/>
      <c r="EGE377" s="50"/>
      <c r="EGF377" s="50"/>
      <c r="EGG377" s="50"/>
      <c r="EGH377" s="50"/>
      <c r="EGI377" s="50"/>
      <c r="EGJ377" s="50"/>
      <c r="EGK377" s="50"/>
      <c r="EGL377" s="50"/>
      <c r="EGM377" s="50"/>
      <c r="EGN377" s="50"/>
      <c r="EGO377" s="50"/>
      <c r="EGP377" s="50"/>
      <c r="EGQ377" s="50"/>
      <c r="EGR377" s="50"/>
      <c r="EGS377" s="50"/>
      <c r="EGT377" s="50"/>
      <c r="EGU377" s="50"/>
      <c r="EGV377" s="50"/>
      <c r="EGW377" s="50"/>
      <c r="EGX377" s="50"/>
      <c r="EGY377" s="50"/>
      <c r="EGZ377" s="50"/>
      <c r="EHA377" s="50"/>
      <c r="EHB377" s="50"/>
      <c r="EHC377" s="50"/>
      <c r="EHD377" s="50"/>
      <c r="EHE377" s="50"/>
      <c r="EHF377" s="50"/>
      <c r="EHG377" s="50"/>
      <c r="EHH377" s="50"/>
      <c r="EHI377" s="50"/>
      <c r="EHJ377" s="50"/>
      <c r="EHK377" s="50"/>
      <c r="EHL377" s="50"/>
      <c r="EHM377" s="50"/>
      <c r="EHN377" s="50"/>
      <c r="EHO377" s="50"/>
      <c r="EHP377" s="50"/>
      <c r="EHQ377" s="50"/>
      <c r="EHR377" s="50"/>
      <c r="EHS377" s="50"/>
      <c r="EHT377" s="50"/>
      <c r="EHU377" s="50"/>
      <c r="EHV377" s="50"/>
      <c r="EHW377" s="50"/>
      <c r="EHX377" s="50"/>
      <c r="EHY377" s="50"/>
      <c r="EHZ377" s="50"/>
      <c r="EIA377" s="50"/>
      <c r="EIB377" s="50"/>
      <c r="EIC377" s="50"/>
      <c r="EID377" s="50"/>
      <c r="EIE377" s="50"/>
      <c r="EIF377" s="50"/>
      <c r="EIG377" s="50"/>
      <c r="EIH377" s="50"/>
      <c r="EII377" s="50"/>
      <c r="EIJ377" s="50"/>
      <c r="EIK377" s="50"/>
      <c r="EIL377" s="50"/>
      <c r="EIM377" s="50"/>
      <c r="EIN377" s="50"/>
      <c r="EIO377" s="50"/>
      <c r="EIP377" s="50"/>
      <c r="EIQ377" s="50"/>
      <c r="EIR377" s="50"/>
      <c r="EIS377" s="50"/>
      <c r="EIT377" s="50"/>
      <c r="EIU377" s="50"/>
      <c r="EIV377" s="50"/>
      <c r="EIW377" s="50"/>
      <c r="EIX377" s="50"/>
      <c r="EIY377" s="50"/>
      <c r="EIZ377" s="50"/>
      <c r="EJA377" s="50"/>
      <c r="EJB377" s="50"/>
      <c r="EJC377" s="50"/>
      <c r="EJD377" s="50"/>
      <c r="EJE377" s="50"/>
      <c r="EJF377" s="50"/>
      <c r="EJG377" s="50"/>
      <c r="EJH377" s="50"/>
      <c r="EJI377" s="50"/>
      <c r="EJJ377" s="50"/>
      <c r="EJK377" s="50"/>
      <c r="EJL377" s="50"/>
      <c r="EJM377" s="50"/>
      <c r="EJN377" s="50"/>
      <c r="EJO377" s="50"/>
      <c r="EJP377" s="50"/>
      <c r="EJQ377" s="50"/>
      <c r="EJR377" s="50"/>
      <c r="EJS377" s="50"/>
      <c r="EJT377" s="50"/>
      <c r="EJU377" s="50"/>
      <c r="EJV377" s="50"/>
      <c r="EJW377" s="50"/>
      <c r="EJX377" s="50"/>
      <c r="EJY377" s="50"/>
      <c r="EJZ377" s="50"/>
      <c r="EKA377" s="50"/>
      <c r="EKB377" s="50"/>
      <c r="EKC377" s="50"/>
      <c r="EKD377" s="50"/>
      <c r="EKE377" s="50"/>
      <c r="EKF377" s="50"/>
      <c r="EKG377" s="50"/>
      <c r="EKH377" s="50"/>
      <c r="EKI377" s="50"/>
      <c r="EKJ377" s="50"/>
      <c r="EKK377" s="50"/>
      <c r="EKL377" s="50"/>
      <c r="EKM377" s="50"/>
      <c r="EKN377" s="50"/>
      <c r="EKO377" s="50"/>
      <c r="EKP377" s="50"/>
      <c r="EKQ377" s="50"/>
      <c r="EKR377" s="50"/>
      <c r="EKS377" s="50"/>
      <c r="EKT377" s="50"/>
      <c r="EKU377" s="50"/>
      <c r="EKV377" s="50"/>
      <c r="EKW377" s="50"/>
      <c r="EKX377" s="50"/>
      <c r="EKY377" s="50"/>
      <c r="EKZ377" s="50"/>
      <c r="ELA377" s="50"/>
      <c r="ELB377" s="50"/>
      <c r="ELC377" s="50"/>
      <c r="ELD377" s="50"/>
      <c r="ELE377" s="50"/>
      <c r="ELF377" s="50"/>
      <c r="ELG377" s="50"/>
      <c r="ELH377" s="50"/>
      <c r="ELI377" s="50"/>
      <c r="ELJ377" s="50"/>
      <c r="ELK377" s="50"/>
      <c r="ELL377" s="50"/>
      <c r="ELM377" s="50"/>
      <c r="ELN377" s="50"/>
      <c r="ELO377" s="50"/>
      <c r="ELP377" s="50"/>
      <c r="ELQ377" s="50"/>
      <c r="ELR377" s="50"/>
      <c r="ELS377" s="50"/>
      <c r="ELT377" s="50"/>
      <c r="ELU377" s="50"/>
      <c r="ELV377" s="50"/>
      <c r="ELW377" s="50"/>
      <c r="ELX377" s="50"/>
      <c r="ELY377" s="50"/>
      <c r="ELZ377" s="50"/>
      <c r="EMA377" s="50"/>
      <c r="EMB377" s="50"/>
      <c r="EMC377" s="50"/>
      <c r="EMD377" s="50"/>
      <c r="EME377" s="50"/>
      <c r="EMF377" s="50"/>
      <c r="EMG377" s="50"/>
      <c r="EMH377" s="50"/>
      <c r="EMI377" s="50"/>
      <c r="EMJ377" s="50"/>
      <c r="EMK377" s="50"/>
      <c r="EML377" s="50"/>
      <c r="EMM377" s="50"/>
      <c r="EMN377" s="50"/>
      <c r="EMO377" s="50"/>
      <c r="EMP377" s="50"/>
      <c r="EMQ377" s="50"/>
      <c r="EMR377" s="50"/>
      <c r="EMS377" s="50"/>
      <c r="EMT377" s="50"/>
      <c r="EMU377" s="50"/>
      <c r="EMV377" s="50"/>
      <c r="EMW377" s="50"/>
      <c r="EMX377" s="50"/>
      <c r="EMY377" s="50"/>
      <c r="EMZ377" s="50"/>
      <c r="ENA377" s="50"/>
      <c r="ENB377" s="50"/>
      <c r="ENC377" s="50"/>
      <c r="END377" s="50"/>
      <c r="ENE377" s="50"/>
      <c r="ENF377" s="50"/>
      <c r="ENG377" s="50"/>
      <c r="ENH377" s="50"/>
      <c r="ENI377" s="50"/>
      <c r="ENJ377" s="50"/>
      <c r="ENK377" s="50"/>
      <c r="ENL377" s="50"/>
      <c r="ENM377" s="50"/>
      <c r="ENN377" s="50"/>
      <c r="ENO377" s="50"/>
      <c r="ENP377" s="50"/>
      <c r="ENQ377" s="50"/>
      <c r="ENR377" s="50"/>
      <c r="ENS377" s="50"/>
      <c r="ENT377" s="50"/>
      <c r="ENU377" s="50"/>
      <c r="ENV377" s="50"/>
      <c r="ENW377" s="50"/>
      <c r="ENX377" s="50"/>
      <c r="ENY377" s="50"/>
      <c r="ENZ377" s="50"/>
      <c r="EOA377" s="50"/>
      <c r="EOB377" s="50"/>
      <c r="EOC377" s="50"/>
      <c r="EOD377" s="50"/>
      <c r="EOE377" s="50"/>
      <c r="EOF377" s="50"/>
      <c r="EOG377" s="50"/>
      <c r="EOH377" s="50"/>
      <c r="EOI377" s="50"/>
      <c r="EOJ377" s="50"/>
      <c r="EOK377" s="50"/>
      <c r="EOL377" s="50"/>
      <c r="EOM377" s="50"/>
      <c r="EON377" s="50"/>
      <c r="EOO377" s="50"/>
      <c r="EOP377" s="50"/>
      <c r="EOQ377" s="50"/>
      <c r="EOR377" s="50"/>
      <c r="EOS377" s="50"/>
      <c r="EOT377" s="50"/>
      <c r="EOU377" s="50"/>
      <c r="EOV377" s="50"/>
      <c r="EOW377" s="50"/>
      <c r="EOX377" s="50"/>
      <c r="EOY377" s="50"/>
      <c r="EOZ377" s="50"/>
      <c r="EPA377" s="50"/>
      <c r="EPB377" s="50"/>
      <c r="EPC377" s="50"/>
      <c r="EPD377" s="50"/>
      <c r="EPE377" s="50"/>
      <c r="EPF377" s="50"/>
      <c r="EPG377" s="50"/>
      <c r="EPH377" s="50"/>
      <c r="EPI377" s="50"/>
      <c r="EPJ377" s="50"/>
      <c r="EPK377" s="50"/>
      <c r="EPL377" s="50"/>
      <c r="EPM377" s="50"/>
      <c r="EPN377" s="50"/>
      <c r="EPO377" s="50"/>
      <c r="EPP377" s="50"/>
      <c r="EPQ377" s="50"/>
      <c r="EPR377" s="50"/>
      <c r="EPS377" s="50"/>
      <c r="EPT377" s="50"/>
      <c r="EPU377" s="50"/>
      <c r="EPV377" s="50"/>
      <c r="EPW377" s="50"/>
      <c r="EPX377" s="50"/>
      <c r="EPY377" s="50"/>
      <c r="EPZ377" s="50"/>
      <c r="EQA377" s="50"/>
      <c r="EQB377" s="50"/>
      <c r="EQC377" s="50"/>
      <c r="EQD377" s="50"/>
      <c r="EQE377" s="50"/>
      <c r="EQF377" s="50"/>
      <c r="EQG377" s="50"/>
      <c r="EQH377" s="50"/>
      <c r="EQI377" s="50"/>
      <c r="EQJ377" s="50"/>
      <c r="EQK377" s="50"/>
      <c r="EQL377" s="50"/>
      <c r="EQM377" s="50"/>
      <c r="EQN377" s="50"/>
      <c r="EQO377" s="50"/>
      <c r="EQP377" s="50"/>
      <c r="EQQ377" s="50"/>
      <c r="EQR377" s="50"/>
      <c r="EQS377" s="50"/>
      <c r="EQT377" s="50"/>
      <c r="EQU377" s="50"/>
      <c r="EQV377" s="50"/>
      <c r="EQW377" s="50"/>
      <c r="EQX377" s="50"/>
      <c r="EQY377" s="50"/>
      <c r="EQZ377" s="50"/>
      <c r="ERA377" s="50"/>
      <c r="ERB377" s="50"/>
      <c r="ERC377" s="50"/>
      <c r="ERD377" s="50"/>
      <c r="ERE377" s="50"/>
      <c r="ERF377" s="50"/>
      <c r="ERG377" s="50"/>
      <c r="ERH377" s="50"/>
      <c r="ERI377" s="50"/>
      <c r="ERJ377" s="50"/>
      <c r="ERK377" s="50"/>
      <c r="ERL377" s="50"/>
      <c r="ERM377" s="50"/>
      <c r="ERN377" s="50"/>
      <c r="ERO377" s="50"/>
      <c r="ERP377" s="50"/>
      <c r="ERQ377" s="50"/>
      <c r="ERR377" s="50"/>
      <c r="ERS377" s="50"/>
      <c r="ERT377" s="50"/>
      <c r="ERU377" s="50"/>
      <c r="ERV377" s="50"/>
      <c r="ERW377" s="50"/>
      <c r="ERX377" s="50"/>
      <c r="ERY377" s="50"/>
      <c r="ERZ377" s="50"/>
      <c r="ESA377" s="50"/>
      <c r="ESB377" s="50"/>
      <c r="ESC377" s="50"/>
      <c r="ESD377" s="50"/>
      <c r="ESE377" s="50"/>
      <c r="ESF377" s="50"/>
      <c r="ESG377" s="50"/>
      <c r="ESH377" s="50"/>
      <c r="ESI377" s="50"/>
      <c r="ESJ377" s="50"/>
      <c r="ESK377" s="50"/>
      <c r="ESL377" s="50"/>
      <c r="ESM377" s="50"/>
      <c r="ESN377" s="50"/>
      <c r="ESO377" s="50"/>
      <c r="ESP377" s="50"/>
      <c r="ESQ377" s="50"/>
      <c r="ESR377" s="50"/>
      <c r="ESS377" s="50"/>
      <c r="EST377" s="50"/>
      <c r="ESU377" s="50"/>
      <c r="ESV377" s="50"/>
      <c r="ESW377" s="50"/>
      <c r="ESX377" s="50"/>
      <c r="ESY377" s="50"/>
      <c r="ESZ377" s="50"/>
      <c r="ETA377" s="50"/>
      <c r="ETB377" s="50"/>
      <c r="ETC377" s="50"/>
      <c r="ETD377" s="50"/>
      <c r="ETE377" s="50"/>
      <c r="ETF377" s="50"/>
      <c r="ETG377" s="50"/>
      <c r="ETH377" s="50"/>
      <c r="ETI377" s="50"/>
      <c r="ETJ377" s="50"/>
      <c r="ETK377" s="50"/>
      <c r="ETL377" s="50"/>
      <c r="ETM377" s="50"/>
      <c r="ETN377" s="50"/>
      <c r="ETO377" s="50"/>
      <c r="ETP377" s="50"/>
      <c r="ETQ377" s="50"/>
      <c r="ETR377" s="50"/>
      <c r="ETS377" s="50"/>
      <c r="ETT377" s="50"/>
      <c r="ETU377" s="50"/>
      <c r="ETV377" s="50"/>
      <c r="ETW377" s="50"/>
      <c r="ETX377" s="50"/>
      <c r="ETY377" s="50"/>
      <c r="ETZ377" s="50"/>
      <c r="EUA377" s="50"/>
      <c r="EUB377" s="50"/>
      <c r="EUC377" s="50"/>
      <c r="EUD377" s="50"/>
      <c r="EUE377" s="50"/>
      <c r="EUF377" s="50"/>
      <c r="EUG377" s="50"/>
      <c r="EUH377" s="50"/>
      <c r="EUI377" s="50"/>
      <c r="EUJ377" s="50"/>
      <c r="EUK377" s="50"/>
      <c r="EUL377" s="50"/>
      <c r="EUM377" s="50"/>
      <c r="EUN377" s="50"/>
      <c r="EUO377" s="50"/>
      <c r="EUP377" s="50"/>
      <c r="EUQ377" s="50"/>
      <c r="EUR377" s="50"/>
      <c r="EUS377" s="50"/>
      <c r="EUT377" s="50"/>
      <c r="EUU377" s="50"/>
      <c r="EUV377" s="50"/>
      <c r="EUW377" s="50"/>
      <c r="EUX377" s="50"/>
      <c r="EUY377" s="50"/>
      <c r="EUZ377" s="50"/>
      <c r="EVA377" s="50"/>
      <c r="EVB377" s="50"/>
      <c r="EVC377" s="50"/>
      <c r="EVD377" s="50"/>
      <c r="EVE377" s="50"/>
      <c r="EVF377" s="50"/>
      <c r="EVG377" s="50"/>
      <c r="EVH377" s="50"/>
      <c r="EVI377" s="50"/>
      <c r="EVJ377" s="50"/>
      <c r="EVK377" s="50"/>
      <c r="EVL377" s="50"/>
      <c r="EVM377" s="50"/>
      <c r="EVN377" s="50"/>
      <c r="EVO377" s="50"/>
      <c r="EVP377" s="50"/>
      <c r="EVQ377" s="50"/>
      <c r="EVR377" s="50"/>
      <c r="EVS377" s="50"/>
      <c r="EVT377" s="50"/>
      <c r="EVU377" s="50"/>
      <c r="EVV377" s="50"/>
      <c r="EVW377" s="50"/>
      <c r="EVX377" s="50"/>
      <c r="EVY377" s="50"/>
      <c r="EVZ377" s="50"/>
      <c r="EWA377" s="50"/>
      <c r="EWB377" s="50"/>
      <c r="EWC377" s="50"/>
      <c r="EWD377" s="50"/>
      <c r="EWE377" s="50"/>
      <c r="EWF377" s="50"/>
      <c r="EWG377" s="50"/>
      <c r="EWH377" s="50"/>
      <c r="EWI377" s="50"/>
      <c r="EWJ377" s="50"/>
      <c r="EWK377" s="50"/>
      <c r="EWL377" s="50"/>
      <c r="EWM377" s="50"/>
      <c r="EWN377" s="50"/>
      <c r="EWO377" s="50"/>
      <c r="EWP377" s="50"/>
      <c r="EWQ377" s="50"/>
      <c r="EWR377" s="50"/>
      <c r="EWS377" s="50"/>
      <c r="EWT377" s="50"/>
      <c r="EWU377" s="50"/>
      <c r="EWV377" s="50"/>
      <c r="EWW377" s="50"/>
      <c r="EWX377" s="50"/>
      <c r="EWY377" s="50"/>
      <c r="EWZ377" s="50"/>
      <c r="EXA377" s="50"/>
      <c r="EXB377" s="50"/>
      <c r="EXC377" s="50"/>
      <c r="EXD377" s="50"/>
      <c r="EXE377" s="50"/>
      <c r="EXF377" s="50"/>
      <c r="EXG377" s="50"/>
      <c r="EXH377" s="50"/>
      <c r="EXI377" s="50"/>
      <c r="EXJ377" s="50"/>
      <c r="EXK377" s="50"/>
      <c r="EXL377" s="50"/>
      <c r="EXM377" s="50"/>
      <c r="EXN377" s="50"/>
      <c r="EXO377" s="50"/>
      <c r="EXP377" s="50"/>
      <c r="EXQ377" s="50"/>
      <c r="EXR377" s="50"/>
      <c r="EXS377" s="50"/>
      <c r="EXT377" s="50"/>
      <c r="EXU377" s="50"/>
      <c r="EXV377" s="50"/>
      <c r="EXW377" s="50"/>
      <c r="EXX377" s="50"/>
      <c r="EXY377" s="50"/>
      <c r="EXZ377" s="50"/>
      <c r="EYA377" s="50"/>
      <c r="EYB377" s="50"/>
      <c r="EYC377" s="50"/>
      <c r="EYD377" s="50"/>
      <c r="EYE377" s="50"/>
      <c r="EYF377" s="50"/>
      <c r="EYG377" s="50"/>
      <c r="EYH377" s="50"/>
      <c r="EYI377" s="50"/>
      <c r="EYJ377" s="50"/>
      <c r="EYK377" s="50"/>
      <c r="EYL377" s="50"/>
      <c r="EYM377" s="50"/>
      <c r="EYN377" s="50"/>
      <c r="EYO377" s="50"/>
      <c r="EYP377" s="50"/>
      <c r="EYQ377" s="50"/>
      <c r="EYR377" s="50"/>
      <c r="EYS377" s="50"/>
      <c r="EYT377" s="50"/>
      <c r="EYU377" s="50"/>
      <c r="EYV377" s="50"/>
      <c r="EYW377" s="50"/>
      <c r="EYX377" s="50"/>
      <c r="EYY377" s="50"/>
      <c r="EYZ377" s="50"/>
      <c r="EZA377" s="50"/>
      <c r="EZB377" s="50"/>
      <c r="EZC377" s="50"/>
      <c r="EZD377" s="50"/>
      <c r="EZE377" s="50"/>
      <c r="EZF377" s="50"/>
      <c r="EZG377" s="50"/>
      <c r="EZH377" s="50"/>
      <c r="EZI377" s="50"/>
      <c r="EZJ377" s="50"/>
      <c r="EZK377" s="50"/>
      <c r="EZL377" s="50"/>
      <c r="EZM377" s="50"/>
      <c r="EZN377" s="50"/>
      <c r="EZO377" s="50"/>
      <c r="EZP377" s="50"/>
      <c r="EZQ377" s="50"/>
      <c r="EZR377" s="50"/>
      <c r="EZS377" s="50"/>
      <c r="EZT377" s="50"/>
      <c r="EZU377" s="50"/>
      <c r="EZV377" s="50"/>
      <c r="EZW377" s="50"/>
      <c r="EZX377" s="50"/>
      <c r="EZY377" s="50"/>
      <c r="EZZ377" s="50"/>
      <c r="FAA377" s="50"/>
      <c r="FAB377" s="50"/>
      <c r="FAC377" s="50"/>
      <c r="FAD377" s="50"/>
      <c r="FAE377" s="50"/>
      <c r="FAF377" s="50"/>
      <c r="FAG377" s="50"/>
      <c r="FAH377" s="50"/>
      <c r="FAI377" s="50"/>
      <c r="FAJ377" s="50"/>
      <c r="FAK377" s="50"/>
      <c r="FAL377" s="50"/>
      <c r="FAM377" s="50"/>
      <c r="FAN377" s="50"/>
      <c r="FAO377" s="50"/>
      <c r="FAP377" s="50"/>
      <c r="FAQ377" s="50"/>
      <c r="FAR377" s="50"/>
      <c r="FAS377" s="50"/>
      <c r="FAT377" s="50"/>
      <c r="FAU377" s="50"/>
      <c r="FAV377" s="50"/>
      <c r="FAW377" s="50"/>
      <c r="FAX377" s="50"/>
      <c r="FAY377" s="50"/>
      <c r="FAZ377" s="50"/>
      <c r="FBA377" s="50"/>
      <c r="FBB377" s="50"/>
      <c r="FBC377" s="50"/>
      <c r="FBD377" s="50"/>
      <c r="FBE377" s="50"/>
      <c r="FBF377" s="50"/>
      <c r="FBG377" s="50"/>
      <c r="FBH377" s="50"/>
      <c r="FBI377" s="50"/>
      <c r="FBJ377" s="50"/>
      <c r="FBK377" s="50"/>
      <c r="FBL377" s="50"/>
      <c r="FBM377" s="50"/>
      <c r="FBN377" s="50"/>
      <c r="FBO377" s="50"/>
      <c r="FBP377" s="50"/>
      <c r="FBQ377" s="50"/>
      <c r="FBR377" s="50"/>
      <c r="FBS377" s="50"/>
      <c r="FBT377" s="50"/>
      <c r="FBU377" s="50"/>
      <c r="FBV377" s="50"/>
      <c r="FBW377" s="50"/>
      <c r="FBX377" s="50"/>
      <c r="FBY377" s="50"/>
      <c r="FBZ377" s="50"/>
      <c r="FCA377" s="50"/>
      <c r="FCB377" s="50"/>
      <c r="FCC377" s="50"/>
      <c r="FCD377" s="50"/>
      <c r="FCE377" s="50"/>
      <c r="FCF377" s="50"/>
      <c r="FCG377" s="50"/>
      <c r="FCH377" s="50"/>
      <c r="FCI377" s="50"/>
      <c r="FCJ377" s="50"/>
      <c r="FCK377" s="50"/>
      <c r="FCL377" s="50"/>
      <c r="FCM377" s="50"/>
      <c r="FCN377" s="50"/>
      <c r="FCO377" s="50"/>
      <c r="FCP377" s="50"/>
      <c r="FCQ377" s="50"/>
      <c r="FCR377" s="50"/>
      <c r="FCS377" s="50"/>
      <c r="FCT377" s="50"/>
      <c r="FCU377" s="50"/>
      <c r="FCV377" s="50"/>
      <c r="FCW377" s="50"/>
      <c r="FCX377" s="50"/>
      <c r="FCY377" s="50"/>
      <c r="FCZ377" s="50"/>
      <c r="FDA377" s="50"/>
      <c r="FDB377" s="50"/>
      <c r="FDC377" s="50"/>
      <c r="FDD377" s="50"/>
      <c r="FDE377" s="50"/>
      <c r="FDF377" s="50"/>
      <c r="FDG377" s="50"/>
      <c r="FDH377" s="50"/>
      <c r="FDI377" s="50"/>
      <c r="FDJ377" s="50"/>
      <c r="FDK377" s="50"/>
      <c r="FDL377" s="50"/>
      <c r="FDM377" s="50"/>
      <c r="FDN377" s="50"/>
      <c r="FDO377" s="50"/>
      <c r="FDP377" s="50"/>
      <c r="FDQ377" s="50"/>
      <c r="FDR377" s="50"/>
      <c r="FDS377" s="50"/>
      <c r="FDT377" s="50"/>
      <c r="FDU377" s="50"/>
      <c r="FDV377" s="50"/>
      <c r="FDW377" s="50"/>
      <c r="FDX377" s="50"/>
      <c r="FDY377" s="50"/>
      <c r="FDZ377" s="50"/>
      <c r="FEA377" s="50"/>
      <c r="FEB377" s="50"/>
      <c r="FEC377" s="50"/>
      <c r="FED377" s="50"/>
      <c r="FEE377" s="50"/>
      <c r="FEF377" s="50"/>
      <c r="FEG377" s="50"/>
      <c r="FEH377" s="50"/>
      <c r="FEI377" s="50"/>
      <c r="FEJ377" s="50"/>
      <c r="FEK377" s="50"/>
      <c r="FEL377" s="50"/>
      <c r="FEM377" s="50"/>
      <c r="FEN377" s="50"/>
      <c r="FEO377" s="50"/>
      <c r="FEP377" s="50"/>
      <c r="FEQ377" s="50"/>
      <c r="FER377" s="50"/>
      <c r="FES377" s="50"/>
      <c r="FET377" s="50"/>
      <c r="FEU377" s="50"/>
      <c r="FEV377" s="50"/>
      <c r="FEW377" s="50"/>
      <c r="FEX377" s="50"/>
      <c r="FEY377" s="50"/>
      <c r="FEZ377" s="50"/>
      <c r="FFA377" s="50"/>
      <c r="FFB377" s="50"/>
      <c r="FFC377" s="50"/>
      <c r="FFD377" s="50"/>
      <c r="FFE377" s="50"/>
      <c r="FFF377" s="50"/>
      <c r="FFG377" s="50"/>
      <c r="FFH377" s="50"/>
      <c r="FFI377" s="50"/>
      <c r="FFJ377" s="50"/>
      <c r="FFK377" s="50"/>
      <c r="FFL377" s="50"/>
      <c r="FFM377" s="50"/>
      <c r="FFN377" s="50"/>
      <c r="FFO377" s="50"/>
      <c r="FFP377" s="50"/>
      <c r="FFQ377" s="50"/>
      <c r="FFR377" s="50"/>
      <c r="FFS377" s="50"/>
      <c r="FFT377" s="50"/>
      <c r="FFU377" s="50"/>
      <c r="FFV377" s="50"/>
      <c r="FFW377" s="50"/>
      <c r="FFX377" s="50"/>
      <c r="FFY377" s="50"/>
      <c r="FFZ377" s="50"/>
      <c r="FGA377" s="50"/>
      <c r="FGB377" s="50"/>
      <c r="FGC377" s="50"/>
      <c r="FGD377" s="50"/>
      <c r="FGE377" s="50"/>
      <c r="FGF377" s="50"/>
      <c r="FGG377" s="50"/>
      <c r="FGH377" s="50"/>
      <c r="FGI377" s="50"/>
      <c r="FGJ377" s="50"/>
      <c r="FGK377" s="50"/>
      <c r="FGL377" s="50"/>
      <c r="FGM377" s="50"/>
      <c r="FGN377" s="50"/>
      <c r="FGO377" s="50"/>
      <c r="FGP377" s="50"/>
      <c r="FGQ377" s="50"/>
      <c r="FGR377" s="50"/>
      <c r="FGS377" s="50"/>
      <c r="FGT377" s="50"/>
      <c r="FGU377" s="50"/>
      <c r="FGV377" s="50"/>
      <c r="FGW377" s="50"/>
      <c r="FGX377" s="50"/>
      <c r="FGY377" s="50"/>
      <c r="FGZ377" s="50"/>
      <c r="FHA377" s="50"/>
      <c r="FHB377" s="50"/>
      <c r="FHC377" s="50"/>
      <c r="FHD377" s="50"/>
      <c r="FHE377" s="50"/>
      <c r="FHF377" s="50"/>
      <c r="FHG377" s="50"/>
      <c r="FHH377" s="50"/>
      <c r="FHI377" s="50"/>
      <c r="FHJ377" s="50"/>
      <c r="FHK377" s="50"/>
      <c r="FHL377" s="50"/>
      <c r="FHM377" s="50"/>
      <c r="FHN377" s="50"/>
      <c r="FHO377" s="50"/>
      <c r="FHP377" s="50"/>
      <c r="FHQ377" s="50"/>
      <c r="FHR377" s="50"/>
      <c r="FHS377" s="50"/>
      <c r="FHT377" s="50"/>
      <c r="FHU377" s="50"/>
      <c r="FHV377" s="50"/>
      <c r="FHW377" s="50"/>
      <c r="FHX377" s="50"/>
      <c r="FHY377" s="50"/>
      <c r="FHZ377" s="50"/>
      <c r="FIA377" s="50"/>
      <c r="FIB377" s="50"/>
      <c r="FIC377" s="50"/>
      <c r="FID377" s="50"/>
      <c r="FIE377" s="50"/>
      <c r="FIF377" s="50"/>
      <c r="FIG377" s="50"/>
      <c r="FIH377" s="50"/>
      <c r="FII377" s="50"/>
      <c r="FIJ377" s="50"/>
      <c r="FIK377" s="50"/>
      <c r="FIL377" s="50"/>
      <c r="FIM377" s="50"/>
      <c r="FIN377" s="50"/>
      <c r="FIO377" s="50"/>
      <c r="FIP377" s="50"/>
      <c r="FIQ377" s="50"/>
      <c r="FIR377" s="50"/>
      <c r="FIS377" s="50"/>
      <c r="FIT377" s="50"/>
      <c r="FIU377" s="50"/>
      <c r="FIV377" s="50"/>
      <c r="FIW377" s="50"/>
      <c r="FIX377" s="50"/>
      <c r="FIY377" s="50"/>
      <c r="FIZ377" s="50"/>
      <c r="FJA377" s="50"/>
      <c r="FJB377" s="50"/>
      <c r="FJC377" s="50"/>
      <c r="FJD377" s="50"/>
      <c r="FJE377" s="50"/>
      <c r="FJF377" s="50"/>
      <c r="FJG377" s="50"/>
      <c r="FJH377" s="50"/>
      <c r="FJI377" s="50"/>
      <c r="FJJ377" s="50"/>
      <c r="FJK377" s="50"/>
      <c r="FJL377" s="50"/>
      <c r="FJM377" s="50"/>
      <c r="FJN377" s="50"/>
      <c r="FJO377" s="50"/>
      <c r="FJP377" s="50"/>
      <c r="FJQ377" s="50"/>
      <c r="FJR377" s="50"/>
      <c r="FJS377" s="50"/>
      <c r="FJT377" s="50"/>
      <c r="FJU377" s="50"/>
      <c r="FJV377" s="50"/>
      <c r="FJW377" s="50"/>
      <c r="FJX377" s="50"/>
      <c r="FJY377" s="50"/>
      <c r="FJZ377" s="50"/>
      <c r="FKA377" s="50"/>
      <c r="FKB377" s="50"/>
      <c r="FKC377" s="50"/>
      <c r="FKD377" s="50"/>
      <c r="FKE377" s="50"/>
      <c r="FKF377" s="50"/>
      <c r="FKG377" s="50"/>
      <c r="FKH377" s="50"/>
      <c r="FKI377" s="50"/>
      <c r="FKJ377" s="50"/>
      <c r="FKK377" s="50"/>
      <c r="FKL377" s="50"/>
      <c r="FKM377" s="50"/>
      <c r="FKN377" s="50"/>
      <c r="FKO377" s="50"/>
      <c r="FKP377" s="50"/>
      <c r="FKQ377" s="50"/>
      <c r="FKR377" s="50"/>
      <c r="FKS377" s="50"/>
      <c r="FKT377" s="50"/>
      <c r="FKU377" s="50"/>
      <c r="FKV377" s="50"/>
      <c r="FKW377" s="50"/>
      <c r="FKX377" s="50"/>
      <c r="FKY377" s="50"/>
      <c r="FKZ377" s="50"/>
      <c r="FLA377" s="50"/>
      <c r="FLB377" s="50"/>
      <c r="FLC377" s="50"/>
      <c r="FLD377" s="50"/>
      <c r="FLE377" s="50"/>
      <c r="FLF377" s="50"/>
      <c r="FLG377" s="50"/>
      <c r="FLH377" s="50"/>
      <c r="FLI377" s="50"/>
      <c r="FLJ377" s="50"/>
      <c r="FLK377" s="50"/>
      <c r="FLL377" s="50"/>
      <c r="FLM377" s="50"/>
      <c r="FLN377" s="50"/>
      <c r="FLO377" s="50"/>
      <c r="FLP377" s="50"/>
      <c r="FLQ377" s="50"/>
      <c r="FLR377" s="50"/>
      <c r="FLS377" s="50"/>
      <c r="FLT377" s="50"/>
      <c r="FLU377" s="50"/>
      <c r="FLV377" s="50"/>
      <c r="FLW377" s="50"/>
      <c r="FLX377" s="50"/>
      <c r="FLY377" s="50"/>
      <c r="FLZ377" s="50"/>
      <c r="FMA377" s="50"/>
      <c r="FMB377" s="50"/>
      <c r="FMC377" s="50"/>
      <c r="FMD377" s="50"/>
      <c r="FME377" s="50"/>
      <c r="FMF377" s="50"/>
      <c r="FMG377" s="50"/>
      <c r="FMH377" s="50"/>
      <c r="FMI377" s="50"/>
      <c r="FMJ377" s="50"/>
      <c r="FMK377" s="50"/>
      <c r="FML377" s="50"/>
      <c r="FMM377" s="50"/>
      <c r="FMN377" s="50"/>
      <c r="FMO377" s="50"/>
      <c r="FMP377" s="50"/>
      <c r="FMQ377" s="50"/>
      <c r="FMR377" s="50"/>
      <c r="FMS377" s="50"/>
      <c r="FMT377" s="50"/>
      <c r="FMU377" s="50"/>
      <c r="FMV377" s="50"/>
      <c r="FMW377" s="50"/>
      <c r="FMX377" s="50"/>
      <c r="FMY377" s="50"/>
      <c r="FMZ377" s="50"/>
      <c r="FNA377" s="50"/>
      <c r="FNB377" s="50"/>
      <c r="FNC377" s="50"/>
      <c r="FND377" s="50"/>
      <c r="FNE377" s="50"/>
      <c r="FNF377" s="50"/>
      <c r="FNG377" s="50"/>
      <c r="FNH377" s="50"/>
      <c r="FNI377" s="50"/>
      <c r="FNJ377" s="50"/>
      <c r="FNK377" s="50"/>
      <c r="FNL377" s="50"/>
      <c r="FNM377" s="50"/>
      <c r="FNN377" s="50"/>
      <c r="FNO377" s="50"/>
      <c r="FNP377" s="50"/>
      <c r="FNQ377" s="50"/>
      <c r="FNR377" s="50"/>
      <c r="FNS377" s="50"/>
      <c r="FNT377" s="50"/>
      <c r="FNU377" s="50"/>
      <c r="FNV377" s="50"/>
      <c r="FNW377" s="50"/>
      <c r="FNX377" s="50"/>
      <c r="FNY377" s="50"/>
      <c r="FNZ377" s="50"/>
      <c r="FOA377" s="50"/>
      <c r="FOB377" s="50"/>
      <c r="FOC377" s="50"/>
      <c r="FOD377" s="50"/>
      <c r="FOE377" s="50"/>
      <c r="FOF377" s="50"/>
      <c r="FOG377" s="50"/>
      <c r="FOH377" s="50"/>
      <c r="FOI377" s="50"/>
      <c r="FOJ377" s="50"/>
      <c r="FOK377" s="50"/>
      <c r="FOL377" s="50"/>
      <c r="FOM377" s="50"/>
      <c r="FON377" s="50"/>
      <c r="FOO377" s="50"/>
      <c r="FOP377" s="50"/>
      <c r="FOQ377" s="50"/>
      <c r="FOR377" s="50"/>
      <c r="FOS377" s="50"/>
      <c r="FOT377" s="50"/>
      <c r="FOU377" s="50"/>
      <c r="FOV377" s="50"/>
      <c r="FOW377" s="50"/>
      <c r="FOX377" s="50"/>
      <c r="FOY377" s="50"/>
      <c r="FOZ377" s="50"/>
      <c r="FPA377" s="50"/>
      <c r="FPB377" s="50"/>
      <c r="FPC377" s="50"/>
      <c r="FPD377" s="50"/>
      <c r="FPE377" s="50"/>
      <c r="FPF377" s="50"/>
      <c r="FPG377" s="50"/>
      <c r="FPH377" s="50"/>
      <c r="FPI377" s="50"/>
      <c r="FPJ377" s="50"/>
      <c r="FPK377" s="50"/>
      <c r="FPL377" s="50"/>
      <c r="FPM377" s="50"/>
      <c r="FPN377" s="50"/>
      <c r="FPO377" s="50"/>
      <c r="FPP377" s="50"/>
      <c r="FPQ377" s="50"/>
      <c r="FPR377" s="50"/>
      <c r="FPS377" s="50"/>
      <c r="FPT377" s="50"/>
      <c r="FPU377" s="50"/>
      <c r="FPV377" s="50"/>
      <c r="FPW377" s="50"/>
      <c r="FPX377" s="50"/>
      <c r="FPY377" s="50"/>
      <c r="FPZ377" s="50"/>
      <c r="FQA377" s="50"/>
      <c r="FQB377" s="50"/>
      <c r="FQC377" s="50"/>
      <c r="FQD377" s="50"/>
      <c r="FQE377" s="50"/>
      <c r="FQF377" s="50"/>
      <c r="FQG377" s="50"/>
      <c r="FQH377" s="50"/>
      <c r="FQI377" s="50"/>
      <c r="FQJ377" s="50"/>
      <c r="FQK377" s="50"/>
      <c r="FQL377" s="50"/>
      <c r="FQM377" s="50"/>
      <c r="FQN377" s="50"/>
      <c r="FQO377" s="50"/>
      <c r="FQP377" s="50"/>
      <c r="FQQ377" s="50"/>
      <c r="FQR377" s="50"/>
      <c r="FQS377" s="50"/>
      <c r="FQT377" s="50"/>
      <c r="FQU377" s="50"/>
      <c r="FQV377" s="50"/>
      <c r="FQW377" s="50"/>
      <c r="FQX377" s="50"/>
      <c r="FQY377" s="50"/>
      <c r="FQZ377" s="50"/>
      <c r="FRA377" s="50"/>
      <c r="FRB377" s="50"/>
      <c r="FRC377" s="50"/>
      <c r="FRD377" s="50"/>
      <c r="FRE377" s="50"/>
      <c r="FRF377" s="50"/>
      <c r="FRG377" s="50"/>
      <c r="FRH377" s="50"/>
      <c r="FRI377" s="50"/>
      <c r="FRJ377" s="50"/>
      <c r="FRK377" s="50"/>
      <c r="FRL377" s="50"/>
      <c r="FRM377" s="50"/>
      <c r="FRN377" s="50"/>
      <c r="FRO377" s="50"/>
      <c r="FRP377" s="50"/>
      <c r="FRQ377" s="50"/>
      <c r="FRR377" s="50"/>
      <c r="FRS377" s="50"/>
      <c r="FRT377" s="50"/>
      <c r="FRU377" s="50"/>
      <c r="FRV377" s="50"/>
      <c r="FRW377" s="50"/>
      <c r="FRX377" s="50"/>
      <c r="FRY377" s="50"/>
      <c r="FRZ377" s="50"/>
      <c r="FSA377" s="50"/>
      <c r="FSB377" s="50"/>
      <c r="FSC377" s="50"/>
      <c r="FSD377" s="50"/>
      <c r="FSE377" s="50"/>
      <c r="FSF377" s="50"/>
      <c r="FSG377" s="50"/>
      <c r="FSH377" s="50"/>
      <c r="FSI377" s="50"/>
      <c r="FSJ377" s="50"/>
      <c r="FSK377" s="50"/>
      <c r="FSL377" s="50"/>
      <c r="FSM377" s="50"/>
      <c r="FSN377" s="50"/>
      <c r="FSO377" s="50"/>
      <c r="FSP377" s="50"/>
      <c r="FSQ377" s="50"/>
      <c r="FSR377" s="50"/>
      <c r="FSS377" s="50"/>
      <c r="FST377" s="50"/>
      <c r="FSU377" s="50"/>
      <c r="FSV377" s="50"/>
      <c r="FSW377" s="50"/>
      <c r="FSX377" s="50"/>
      <c r="FSY377" s="50"/>
      <c r="FSZ377" s="50"/>
      <c r="FTA377" s="50"/>
      <c r="FTB377" s="50"/>
      <c r="FTC377" s="50"/>
      <c r="FTD377" s="50"/>
      <c r="FTE377" s="50"/>
      <c r="FTF377" s="50"/>
      <c r="FTG377" s="50"/>
      <c r="FTH377" s="50"/>
      <c r="FTI377" s="50"/>
      <c r="FTJ377" s="50"/>
      <c r="FTK377" s="50"/>
      <c r="FTL377" s="50"/>
      <c r="FTM377" s="50"/>
      <c r="FTN377" s="50"/>
      <c r="FTO377" s="50"/>
      <c r="FTP377" s="50"/>
      <c r="FTQ377" s="50"/>
      <c r="FTR377" s="50"/>
      <c r="FTS377" s="50"/>
      <c r="FTT377" s="50"/>
      <c r="FTU377" s="50"/>
      <c r="FTV377" s="50"/>
      <c r="FTW377" s="50"/>
      <c r="FTX377" s="50"/>
      <c r="FTY377" s="50"/>
      <c r="FTZ377" s="50"/>
      <c r="FUA377" s="50"/>
      <c r="FUB377" s="50"/>
      <c r="FUC377" s="50"/>
      <c r="FUD377" s="50"/>
      <c r="FUE377" s="50"/>
      <c r="FUF377" s="50"/>
      <c r="FUG377" s="50"/>
      <c r="FUH377" s="50"/>
      <c r="FUI377" s="50"/>
      <c r="FUJ377" s="50"/>
      <c r="FUK377" s="50"/>
      <c r="FUL377" s="50"/>
      <c r="FUM377" s="50"/>
      <c r="FUN377" s="50"/>
      <c r="FUO377" s="50"/>
      <c r="FUP377" s="50"/>
      <c r="FUQ377" s="50"/>
      <c r="FUR377" s="50"/>
      <c r="FUS377" s="50"/>
      <c r="FUT377" s="50"/>
      <c r="FUU377" s="50"/>
      <c r="FUV377" s="50"/>
      <c r="FUW377" s="50"/>
      <c r="FUX377" s="50"/>
      <c r="FUY377" s="50"/>
      <c r="FUZ377" s="50"/>
      <c r="FVA377" s="50"/>
      <c r="FVB377" s="50"/>
      <c r="FVC377" s="50"/>
      <c r="FVD377" s="50"/>
      <c r="FVE377" s="50"/>
      <c r="FVF377" s="50"/>
      <c r="FVG377" s="50"/>
      <c r="FVH377" s="50"/>
      <c r="FVI377" s="50"/>
      <c r="FVJ377" s="50"/>
      <c r="FVK377" s="50"/>
      <c r="FVL377" s="50"/>
      <c r="FVM377" s="50"/>
      <c r="FVN377" s="50"/>
      <c r="FVO377" s="50"/>
      <c r="FVP377" s="50"/>
      <c r="FVQ377" s="50"/>
      <c r="FVR377" s="50"/>
      <c r="FVS377" s="50"/>
      <c r="FVT377" s="50"/>
      <c r="FVU377" s="50"/>
      <c r="FVV377" s="50"/>
      <c r="FVW377" s="50"/>
      <c r="FVX377" s="50"/>
      <c r="FVY377" s="50"/>
      <c r="FVZ377" s="50"/>
      <c r="FWA377" s="50"/>
      <c r="FWB377" s="50"/>
      <c r="FWC377" s="50"/>
      <c r="FWD377" s="50"/>
      <c r="FWE377" s="50"/>
      <c r="FWF377" s="50"/>
      <c r="FWG377" s="50"/>
      <c r="FWH377" s="50"/>
      <c r="FWI377" s="50"/>
      <c r="FWJ377" s="50"/>
      <c r="FWK377" s="50"/>
      <c r="FWL377" s="50"/>
      <c r="FWM377" s="50"/>
      <c r="FWN377" s="50"/>
      <c r="FWO377" s="50"/>
      <c r="FWP377" s="50"/>
      <c r="FWQ377" s="50"/>
      <c r="FWR377" s="50"/>
      <c r="FWS377" s="50"/>
      <c r="FWT377" s="50"/>
      <c r="FWU377" s="50"/>
      <c r="FWV377" s="50"/>
      <c r="FWW377" s="50"/>
      <c r="FWX377" s="50"/>
      <c r="FWY377" s="50"/>
      <c r="FWZ377" s="50"/>
      <c r="FXA377" s="50"/>
      <c r="FXB377" s="50"/>
      <c r="FXC377" s="50"/>
      <c r="FXD377" s="50"/>
      <c r="FXE377" s="50"/>
      <c r="FXF377" s="50"/>
      <c r="FXG377" s="50"/>
      <c r="FXH377" s="50"/>
      <c r="FXI377" s="50"/>
      <c r="FXJ377" s="50"/>
      <c r="FXK377" s="50"/>
      <c r="FXL377" s="50"/>
      <c r="FXM377" s="50"/>
      <c r="FXN377" s="50"/>
      <c r="FXO377" s="50"/>
      <c r="FXP377" s="50"/>
      <c r="FXQ377" s="50"/>
      <c r="FXR377" s="50"/>
      <c r="FXS377" s="50"/>
      <c r="FXT377" s="50"/>
      <c r="FXU377" s="50"/>
      <c r="FXV377" s="50"/>
      <c r="FXW377" s="50"/>
      <c r="FXX377" s="50"/>
      <c r="FXY377" s="50"/>
      <c r="FXZ377" s="50"/>
      <c r="FYA377" s="50"/>
      <c r="FYB377" s="50"/>
      <c r="FYC377" s="50"/>
      <c r="FYD377" s="50"/>
      <c r="FYE377" s="50"/>
      <c r="FYF377" s="50"/>
      <c r="FYG377" s="50"/>
      <c r="FYH377" s="50"/>
      <c r="FYI377" s="50"/>
      <c r="FYJ377" s="50"/>
      <c r="FYK377" s="50"/>
      <c r="FYL377" s="50"/>
      <c r="FYM377" s="50"/>
      <c r="FYN377" s="50"/>
      <c r="FYO377" s="50"/>
      <c r="FYP377" s="50"/>
      <c r="FYQ377" s="50"/>
      <c r="FYR377" s="50"/>
      <c r="FYS377" s="50"/>
      <c r="FYT377" s="50"/>
      <c r="FYU377" s="50"/>
      <c r="FYV377" s="50"/>
      <c r="FYW377" s="50"/>
      <c r="FYX377" s="50"/>
      <c r="FYY377" s="50"/>
      <c r="FYZ377" s="50"/>
      <c r="FZA377" s="50"/>
      <c r="FZB377" s="50"/>
      <c r="FZC377" s="50"/>
      <c r="FZD377" s="50"/>
      <c r="FZE377" s="50"/>
      <c r="FZF377" s="50"/>
      <c r="FZG377" s="50"/>
      <c r="FZH377" s="50"/>
      <c r="FZI377" s="50"/>
      <c r="FZJ377" s="50"/>
      <c r="FZK377" s="50"/>
      <c r="FZL377" s="50"/>
      <c r="FZM377" s="50"/>
      <c r="FZN377" s="50"/>
      <c r="FZO377" s="50"/>
      <c r="FZP377" s="50"/>
      <c r="FZQ377" s="50"/>
      <c r="FZR377" s="50"/>
      <c r="FZS377" s="50"/>
      <c r="FZT377" s="50"/>
      <c r="FZU377" s="50"/>
      <c r="FZV377" s="50"/>
      <c r="FZW377" s="50"/>
      <c r="FZX377" s="50"/>
      <c r="FZY377" s="50"/>
      <c r="FZZ377" s="50"/>
      <c r="GAA377" s="50"/>
      <c r="GAB377" s="50"/>
      <c r="GAC377" s="50"/>
      <c r="GAD377" s="50"/>
      <c r="GAE377" s="50"/>
      <c r="GAF377" s="50"/>
      <c r="GAG377" s="50"/>
      <c r="GAH377" s="50"/>
      <c r="GAI377" s="50"/>
      <c r="GAJ377" s="50"/>
      <c r="GAK377" s="50"/>
      <c r="GAL377" s="50"/>
      <c r="GAM377" s="50"/>
      <c r="GAN377" s="50"/>
      <c r="GAO377" s="50"/>
      <c r="GAP377" s="50"/>
      <c r="GAQ377" s="50"/>
      <c r="GAR377" s="50"/>
      <c r="GAS377" s="50"/>
      <c r="GAT377" s="50"/>
      <c r="GAU377" s="50"/>
      <c r="GAV377" s="50"/>
      <c r="GAW377" s="50"/>
      <c r="GAX377" s="50"/>
      <c r="GAY377" s="50"/>
      <c r="GAZ377" s="50"/>
      <c r="GBA377" s="50"/>
      <c r="GBB377" s="50"/>
      <c r="GBC377" s="50"/>
      <c r="GBD377" s="50"/>
      <c r="GBE377" s="50"/>
      <c r="GBF377" s="50"/>
      <c r="GBG377" s="50"/>
      <c r="GBH377" s="50"/>
      <c r="GBI377" s="50"/>
      <c r="GBJ377" s="50"/>
      <c r="GBK377" s="50"/>
      <c r="GBL377" s="50"/>
      <c r="GBM377" s="50"/>
      <c r="GBN377" s="50"/>
      <c r="GBO377" s="50"/>
      <c r="GBP377" s="50"/>
      <c r="GBQ377" s="50"/>
      <c r="GBR377" s="50"/>
      <c r="GBS377" s="50"/>
      <c r="GBT377" s="50"/>
      <c r="GBU377" s="50"/>
      <c r="GBV377" s="50"/>
      <c r="GBW377" s="50"/>
      <c r="GBX377" s="50"/>
      <c r="GBY377" s="50"/>
      <c r="GBZ377" s="50"/>
      <c r="GCA377" s="50"/>
      <c r="GCB377" s="50"/>
      <c r="GCC377" s="50"/>
      <c r="GCD377" s="50"/>
      <c r="GCE377" s="50"/>
      <c r="GCF377" s="50"/>
      <c r="GCG377" s="50"/>
      <c r="GCH377" s="50"/>
      <c r="GCI377" s="50"/>
      <c r="GCJ377" s="50"/>
      <c r="GCK377" s="50"/>
      <c r="GCL377" s="50"/>
      <c r="GCM377" s="50"/>
      <c r="GCN377" s="50"/>
      <c r="GCO377" s="50"/>
      <c r="GCP377" s="50"/>
      <c r="GCQ377" s="50"/>
      <c r="GCR377" s="50"/>
      <c r="GCS377" s="50"/>
      <c r="GCT377" s="50"/>
      <c r="GCU377" s="50"/>
      <c r="GCV377" s="50"/>
      <c r="GCW377" s="50"/>
      <c r="GCX377" s="50"/>
      <c r="GCY377" s="50"/>
      <c r="GCZ377" s="50"/>
      <c r="GDA377" s="50"/>
      <c r="GDB377" s="50"/>
      <c r="GDC377" s="50"/>
      <c r="GDD377" s="50"/>
      <c r="GDE377" s="50"/>
      <c r="GDF377" s="50"/>
      <c r="GDG377" s="50"/>
      <c r="GDH377" s="50"/>
      <c r="GDI377" s="50"/>
      <c r="GDJ377" s="50"/>
      <c r="GDK377" s="50"/>
      <c r="GDL377" s="50"/>
      <c r="GDM377" s="50"/>
      <c r="GDN377" s="50"/>
      <c r="GDO377" s="50"/>
      <c r="GDP377" s="50"/>
      <c r="GDQ377" s="50"/>
      <c r="GDR377" s="50"/>
      <c r="GDS377" s="50"/>
      <c r="GDT377" s="50"/>
      <c r="GDU377" s="50"/>
      <c r="GDV377" s="50"/>
      <c r="GDW377" s="50"/>
      <c r="GDX377" s="50"/>
      <c r="GDY377" s="50"/>
      <c r="GDZ377" s="50"/>
      <c r="GEA377" s="50"/>
      <c r="GEB377" s="50"/>
      <c r="GEC377" s="50"/>
      <c r="GED377" s="50"/>
      <c r="GEE377" s="50"/>
      <c r="GEF377" s="50"/>
      <c r="GEG377" s="50"/>
      <c r="GEH377" s="50"/>
      <c r="GEI377" s="50"/>
      <c r="GEJ377" s="50"/>
      <c r="GEK377" s="50"/>
      <c r="GEL377" s="50"/>
      <c r="GEM377" s="50"/>
      <c r="GEN377" s="50"/>
      <c r="GEO377" s="50"/>
      <c r="GEP377" s="50"/>
      <c r="GEQ377" s="50"/>
      <c r="GER377" s="50"/>
      <c r="GES377" s="50"/>
      <c r="GET377" s="50"/>
      <c r="GEU377" s="50"/>
      <c r="GEV377" s="50"/>
      <c r="GEW377" s="50"/>
      <c r="GEX377" s="50"/>
      <c r="GEY377" s="50"/>
      <c r="GEZ377" s="50"/>
      <c r="GFA377" s="50"/>
      <c r="GFB377" s="50"/>
      <c r="GFC377" s="50"/>
      <c r="GFD377" s="50"/>
      <c r="GFE377" s="50"/>
      <c r="GFF377" s="50"/>
      <c r="GFG377" s="50"/>
      <c r="GFH377" s="50"/>
      <c r="GFI377" s="50"/>
      <c r="GFJ377" s="50"/>
      <c r="GFK377" s="50"/>
      <c r="GFL377" s="50"/>
      <c r="GFM377" s="50"/>
      <c r="GFN377" s="50"/>
      <c r="GFO377" s="50"/>
      <c r="GFP377" s="50"/>
      <c r="GFQ377" s="50"/>
      <c r="GFR377" s="50"/>
      <c r="GFS377" s="50"/>
      <c r="GFT377" s="50"/>
      <c r="GFU377" s="50"/>
      <c r="GFV377" s="50"/>
      <c r="GFW377" s="50"/>
      <c r="GFX377" s="50"/>
      <c r="GFY377" s="50"/>
      <c r="GFZ377" s="50"/>
      <c r="GGA377" s="50"/>
      <c r="GGB377" s="50"/>
      <c r="GGC377" s="50"/>
      <c r="GGD377" s="50"/>
      <c r="GGE377" s="50"/>
      <c r="GGF377" s="50"/>
      <c r="GGG377" s="50"/>
      <c r="GGH377" s="50"/>
      <c r="GGI377" s="50"/>
      <c r="GGJ377" s="50"/>
      <c r="GGK377" s="50"/>
      <c r="GGL377" s="50"/>
      <c r="GGM377" s="50"/>
      <c r="GGN377" s="50"/>
      <c r="GGO377" s="50"/>
      <c r="GGP377" s="50"/>
      <c r="GGQ377" s="50"/>
      <c r="GGR377" s="50"/>
      <c r="GGS377" s="50"/>
      <c r="GGT377" s="50"/>
      <c r="GGU377" s="50"/>
      <c r="GGV377" s="50"/>
      <c r="GGW377" s="50"/>
      <c r="GGX377" s="50"/>
      <c r="GGY377" s="50"/>
      <c r="GGZ377" s="50"/>
      <c r="GHA377" s="50"/>
      <c r="GHB377" s="50"/>
      <c r="GHC377" s="50"/>
      <c r="GHD377" s="50"/>
      <c r="GHE377" s="50"/>
      <c r="GHF377" s="50"/>
      <c r="GHG377" s="50"/>
      <c r="GHH377" s="50"/>
      <c r="GHI377" s="50"/>
      <c r="GHJ377" s="50"/>
      <c r="GHK377" s="50"/>
      <c r="GHL377" s="50"/>
      <c r="GHM377" s="50"/>
      <c r="GHN377" s="50"/>
      <c r="GHO377" s="50"/>
      <c r="GHP377" s="50"/>
      <c r="GHQ377" s="50"/>
      <c r="GHR377" s="50"/>
      <c r="GHS377" s="50"/>
      <c r="GHT377" s="50"/>
      <c r="GHU377" s="50"/>
      <c r="GHV377" s="50"/>
      <c r="GHW377" s="50"/>
      <c r="GHX377" s="50"/>
      <c r="GHY377" s="50"/>
      <c r="GHZ377" s="50"/>
      <c r="GIA377" s="50"/>
      <c r="GIB377" s="50"/>
      <c r="GIC377" s="50"/>
      <c r="GID377" s="50"/>
      <c r="GIE377" s="50"/>
      <c r="GIF377" s="50"/>
      <c r="GIG377" s="50"/>
      <c r="GIH377" s="50"/>
      <c r="GII377" s="50"/>
      <c r="GIJ377" s="50"/>
      <c r="GIK377" s="50"/>
      <c r="GIL377" s="50"/>
      <c r="GIM377" s="50"/>
      <c r="GIN377" s="50"/>
      <c r="GIO377" s="50"/>
      <c r="GIP377" s="50"/>
      <c r="GIQ377" s="50"/>
      <c r="GIR377" s="50"/>
      <c r="GIS377" s="50"/>
      <c r="GIT377" s="50"/>
      <c r="GIU377" s="50"/>
      <c r="GIV377" s="50"/>
      <c r="GIW377" s="50"/>
      <c r="GIX377" s="50"/>
      <c r="GIY377" s="50"/>
      <c r="GIZ377" s="50"/>
      <c r="GJA377" s="50"/>
      <c r="GJB377" s="50"/>
      <c r="GJC377" s="50"/>
      <c r="GJD377" s="50"/>
      <c r="GJE377" s="50"/>
      <c r="GJF377" s="50"/>
      <c r="GJG377" s="50"/>
      <c r="GJH377" s="50"/>
      <c r="GJI377" s="50"/>
      <c r="GJJ377" s="50"/>
      <c r="GJK377" s="50"/>
      <c r="GJL377" s="50"/>
      <c r="GJM377" s="50"/>
      <c r="GJN377" s="50"/>
      <c r="GJO377" s="50"/>
      <c r="GJP377" s="50"/>
      <c r="GJQ377" s="50"/>
      <c r="GJR377" s="50"/>
      <c r="GJS377" s="50"/>
      <c r="GJT377" s="50"/>
      <c r="GJU377" s="50"/>
      <c r="GJV377" s="50"/>
      <c r="GJW377" s="50"/>
      <c r="GJX377" s="50"/>
      <c r="GJY377" s="50"/>
      <c r="GJZ377" s="50"/>
      <c r="GKA377" s="50"/>
      <c r="GKB377" s="50"/>
      <c r="GKC377" s="50"/>
      <c r="GKD377" s="50"/>
      <c r="GKE377" s="50"/>
      <c r="GKF377" s="50"/>
      <c r="GKG377" s="50"/>
      <c r="GKH377" s="50"/>
      <c r="GKI377" s="50"/>
      <c r="GKJ377" s="50"/>
      <c r="GKK377" s="50"/>
      <c r="GKL377" s="50"/>
      <c r="GKM377" s="50"/>
      <c r="GKN377" s="50"/>
      <c r="GKO377" s="50"/>
      <c r="GKP377" s="50"/>
      <c r="GKQ377" s="50"/>
      <c r="GKR377" s="50"/>
      <c r="GKS377" s="50"/>
      <c r="GKT377" s="50"/>
      <c r="GKU377" s="50"/>
      <c r="GKV377" s="50"/>
      <c r="GKW377" s="50"/>
      <c r="GKX377" s="50"/>
      <c r="GKY377" s="50"/>
      <c r="GKZ377" s="50"/>
      <c r="GLA377" s="50"/>
      <c r="GLB377" s="50"/>
      <c r="GLC377" s="50"/>
      <c r="GLD377" s="50"/>
      <c r="GLE377" s="50"/>
      <c r="GLF377" s="50"/>
      <c r="GLG377" s="50"/>
      <c r="GLH377" s="50"/>
      <c r="GLI377" s="50"/>
      <c r="GLJ377" s="50"/>
      <c r="GLK377" s="50"/>
      <c r="GLL377" s="50"/>
      <c r="GLM377" s="50"/>
      <c r="GLN377" s="50"/>
      <c r="GLO377" s="50"/>
      <c r="GLP377" s="50"/>
      <c r="GLQ377" s="50"/>
      <c r="GLR377" s="50"/>
      <c r="GLS377" s="50"/>
      <c r="GLT377" s="50"/>
      <c r="GLU377" s="50"/>
      <c r="GLV377" s="50"/>
      <c r="GLW377" s="50"/>
      <c r="GLX377" s="50"/>
      <c r="GLY377" s="50"/>
      <c r="GLZ377" s="50"/>
      <c r="GMA377" s="50"/>
      <c r="GMB377" s="50"/>
      <c r="GMC377" s="50"/>
      <c r="GMD377" s="50"/>
      <c r="GME377" s="50"/>
      <c r="GMF377" s="50"/>
      <c r="GMG377" s="50"/>
      <c r="GMH377" s="50"/>
      <c r="GMI377" s="50"/>
      <c r="GMJ377" s="50"/>
      <c r="GMK377" s="50"/>
      <c r="GML377" s="50"/>
      <c r="GMM377" s="50"/>
      <c r="GMN377" s="50"/>
      <c r="GMO377" s="50"/>
      <c r="GMP377" s="50"/>
      <c r="GMQ377" s="50"/>
      <c r="GMR377" s="50"/>
      <c r="GMS377" s="50"/>
      <c r="GMT377" s="50"/>
      <c r="GMU377" s="50"/>
      <c r="GMV377" s="50"/>
      <c r="GMW377" s="50"/>
      <c r="GMX377" s="50"/>
      <c r="GMY377" s="50"/>
      <c r="GMZ377" s="50"/>
      <c r="GNA377" s="50"/>
      <c r="GNB377" s="50"/>
      <c r="GNC377" s="50"/>
      <c r="GND377" s="50"/>
      <c r="GNE377" s="50"/>
      <c r="GNF377" s="50"/>
      <c r="GNG377" s="50"/>
      <c r="GNH377" s="50"/>
      <c r="GNI377" s="50"/>
      <c r="GNJ377" s="50"/>
      <c r="GNK377" s="50"/>
      <c r="GNL377" s="50"/>
      <c r="GNM377" s="50"/>
      <c r="GNN377" s="50"/>
      <c r="GNO377" s="50"/>
      <c r="GNP377" s="50"/>
      <c r="GNQ377" s="50"/>
      <c r="GNR377" s="50"/>
      <c r="GNS377" s="50"/>
      <c r="GNT377" s="50"/>
      <c r="GNU377" s="50"/>
      <c r="GNV377" s="50"/>
      <c r="GNW377" s="50"/>
      <c r="GNX377" s="50"/>
      <c r="GNY377" s="50"/>
      <c r="GNZ377" s="50"/>
      <c r="GOA377" s="50"/>
      <c r="GOB377" s="50"/>
      <c r="GOC377" s="50"/>
      <c r="GOD377" s="50"/>
      <c r="GOE377" s="50"/>
      <c r="GOF377" s="50"/>
      <c r="GOG377" s="50"/>
      <c r="GOH377" s="50"/>
      <c r="GOI377" s="50"/>
      <c r="GOJ377" s="50"/>
      <c r="GOK377" s="50"/>
      <c r="GOL377" s="50"/>
      <c r="GOM377" s="50"/>
      <c r="GON377" s="50"/>
      <c r="GOO377" s="50"/>
      <c r="GOP377" s="50"/>
      <c r="GOQ377" s="50"/>
      <c r="GOR377" s="50"/>
      <c r="GOS377" s="50"/>
      <c r="GOT377" s="50"/>
      <c r="GOU377" s="50"/>
      <c r="GOV377" s="50"/>
      <c r="GOW377" s="50"/>
      <c r="GOX377" s="50"/>
      <c r="GOY377" s="50"/>
      <c r="GOZ377" s="50"/>
      <c r="GPA377" s="50"/>
      <c r="GPB377" s="50"/>
      <c r="GPC377" s="50"/>
      <c r="GPD377" s="50"/>
      <c r="GPE377" s="50"/>
      <c r="GPF377" s="50"/>
      <c r="GPG377" s="50"/>
      <c r="GPH377" s="50"/>
      <c r="GPI377" s="50"/>
      <c r="GPJ377" s="50"/>
      <c r="GPK377" s="50"/>
      <c r="GPL377" s="50"/>
      <c r="GPM377" s="50"/>
      <c r="GPN377" s="50"/>
      <c r="GPO377" s="50"/>
      <c r="GPP377" s="50"/>
      <c r="GPQ377" s="50"/>
      <c r="GPR377" s="50"/>
      <c r="GPS377" s="50"/>
      <c r="GPT377" s="50"/>
      <c r="GPU377" s="50"/>
      <c r="GPV377" s="50"/>
      <c r="GPW377" s="50"/>
      <c r="GPX377" s="50"/>
      <c r="GPY377" s="50"/>
      <c r="GPZ377" s="50"/>
      <c r="GQA377" s="50"/>
      <c r="GQB377" s="50"/>
      <c r="GQC377" s="50"/>
      <c r="GQD377" s="50"/>
      <c r="GQE377" s="50"/>
      <c r="GQF377" s="50"/>
      <c r="GQG377" s="50"/>
      <c r="GQH377" s="50"/>
      <c r="GQI377" s="50"/>
      <c r="GQJ377" s="50"/>
      <c r="GQK377" s="50"/>
      <c r="GQL377" s="50"/>
      <c r="GQM377" s="50"/>
      <c r="GQN377" s="50"/>
      <c r="GQO377" s="50"/>
      <c r="GQP377" s="50"/>
      <c r="GQQ377" s="50"/>
      <c r="GQR377" s="50"/>
      <c r="GQS377" s="50"/>
      <c r="GQT377" s="50"/>
      <c r="GQU377" s="50"/>
      <c r="GQV377" s="50"/>
      <c r="GQW377" s="50"/>
      <c r="GQX377" s="50"/>
      <c r="GQY377" s="50"/>
      <c r="GQZ377" s="50"/>
      <c r="GRA377" s="50"/>
      <c r="GRB377" s="50"/>
      <c r="GRC377" s="50"/>
      <c r="GRD377" s="50"/>
      <c r="GRE377" s="50"/>
      <c r="GRF377" s="50"/>
      <c r="GRG377" s="50"/>
      <c r="GRH377" s="50"/>
      <c r="GRI377" s="50"/>
      <c r="GRJ377" s="50"/>
      <c r="GRK377" s="50"/>
      <c r="GRL377" s="50"/>
      <c r="GRM377" s="50"/>
      <c r="GRN377" s="50"/>
      <c r="GRO377" s="50"/>
      <c r="GRP377" s="50"/>
      <c r="GRQ377" s="50"/>
      <c r="GRR377" s="50"/>
      <c r="GRS377" s="50"/>
      <c r="GRT377" s="50"/>
      <c r="GRU377" s="50"/>
      <c r="GRV377" s="50"/>
      <c r="GRW377" s="50"/>
      <c r="GRX377" s="50"/>
      <c r="GRY377" s="50"/>
      <c r="GRZ377" s="50"/>
      <c r="GSA377" s="50"/>
      <c r="GSB377" s="50"/>
      <c r="GSC377" s="50"/>
      <c r="GSD377" s="50"/>
      <c r="GSE377" s="50"/>
      <c r="GSF377" s="50"/>
      <c r="GSG377" s="50"/>
      <c r="GSH377" s="50"/>
      <c r="GSI377" s="50"/>
      <c r="GSJ377" s="50"/>
      <c r="GSK377" s="50"/>
      <c r="GSL377" s="50"/>
      <c r="GSM377" s="50"/>
      <c r="GSN377" s="50"/>
      <c r="GSO377" s="50"/>
      <c r="GSP377" s="50"/>
      <c r="GSQ377" s="50"/>
      <c r="GSR377" s="50"/>
      <c r="GSS377" s="50"/>
      <c r="GST377" s="50"/>
      <c r="GSU377" s="50"/>
      <c r="GSV377" s="50"/>
      <c r="GSW377" s="50"/>
      <c r="GSX377" s="50"/>
      <c r="GSY377" s="50"/>
      <c r="GSZ377" s="50"/>
      <c r="GTA377" s="50"/>
      <c r="GTB377" s="50"/>
      <c r="GTC377" s="50"/>
      <c r="GTD377" s="50"/>
      <c r="GTE377" s="50"/>
      <c r="GTF377" s="50"/>
      <c r="GTG377" s="50"/>
      <c r="GTH377" s="50"/>
      <c r="GTI377" s="50"/>
      <c r="GTJ377" s="50"/>
      <c r="GTK377" s="50"/>
      <c r="GTL377" s="50"/>
      <c r="GTM377" s="50"/>
      <c r="GTN377" s="50"/>
      <c r="GTO377" s="50"/>
      <c r="GTP377" s="50"/>
      <c r="GTQ377" s="50"/>
      <c r="GTR377" s="50"/>
      <c r="GTS377" s="50"/>
      <c r="GTT377" s="50"/>
      <c r="GTU377" s="50"/>
      <c r="GTV377" s="50"/>
      <c r="GTW377" s="50"/>
      <c r="GTX377" s="50"/>
      <c r="GTY377" s="50"/>
      <c r="GTZ377" s="50"/>
      <c r="GUA377" s="50"/>
      <c r="GUB377" s="50"/>
      <c r="GUC377" s="50"/>
      <c r="GUD377" s="50"/>
      <c r="GUE377" s="50"/>
      <c r="GUF377" s="50"/>
      <c r="GUG377" s="50"/>
      <c r="GUH377" s="50"/>
      <c r="GUI377" s="50"/>
      <c r="GUJ377" s="50"/>
      <c r="GUK377" s="50"/>
      <c r="GUL377" s="50"/>
      <c r="GUM377" s="50"/>
      <c r="GUN377" s="50"/>
      <c r="GUO377" s="50"/>
      <c r="GUP377" s="50"/>
      <c r="GUQ377" s="50"/>
      <c r="GUR377" s="50"/>
      <c r="GUS377" s="50"/>
      <c r="GUT377" s="50"/>
      <c r="GUU377" s="50"/>
      <c r="GUV377" s="50"/>
      <c r="GUW377" s="50"/>
      <c r="GUX377" s="50"/>
      <c r="GUY377" s="50"/>
      <c r="GUZ377" s="50"/>
      <c r="GVA377" s="50"/>
      <c r="GVB377" s="50"/>
      <c r="GVC377" s="50"/>
      <c r="GVD377" s="50"/>
      <c r="GVE377" s="50"/>
      <c r="GVF377" s="50"/>
      <c r="GVG377" s="50"/>
      <c r="GVH377" s="50"/>
      <c r="GVI377" s="50"/>
      <c r="GVJ377" s="50"/>
      <c r="GVK377" s="50"/>
      <c r="GVL377" s="50"/>
      <c r="GVM377" s="50"/>
      <c r="GVN377" s="50"/>
      <c r="GVO377" s="50"/>
      <c r="GVP377" s="50"/>
      <c r="GVQ377" s="50"/>
      <c r="GVR377" s="50"/>
      <c r="GVS377" s="50"/>
      <c r="GVT377" s="50"/>
      <c r="GVU377" s="50"/>
      <c r="GVV377" s="50"/>
      <c r="GVW377" s="50"/>
      <c r="GVX377" s="50"/>
      <c r="GVY377" s="50"/>
      <c r="GVZ377" s="50"/>
      <c r="GWA377" s="50"/>
      <c r="GWB377" s="50"/>
      <c r="GWC377" s="50"/>
      <c r="GWD377" s="50"/>
      <c r="GWE377" s="50"/>
      <c r="GWF377" s="50"/>
      <c r="GWG377" s="50"/>
      <c r="GWH377" s="50"/>
      <c r="GWI377" s="50"/>
      <c r="GWJ377" s="50"/>
      <c r="GWK377" s="50"/>
      <c r="GWL377" s="50"/>
      <c r="GWM377" s="50"/>
      <c r="GWN377" s="50"/>
      <c r="GWO377" s="50"/>
      <c r="GWP377" s="50"/>
      <c r="GWQ377" s="50"/>
      <c r="GWR377" s="50"/>
      <c r="GWS377" s="50"/>
      <c r="GWT377" s="50"/>
      <c r="GWU377" s="50"/>
      <c r="GWV377" s="50"/>
      <c r="GWW377" s="50"/>
      <c r="GWX377" s="50"/>
      <c r="GWY377" s="50"/>
      <c r="GWZ377" s="50"/>
      <c r="GXA377" s="50"/>
      <c r="GXB377" s="50"/>
      <c r="GXC377" s="50"/>
      <c r="GXD377" s="50"/>
      <c r="GXE377" s="50"/>
      <c r="GXF377" s="50"/>
      <c r="GXG377" s="50"/>
      <c r="GXH377" s="50"/>
      <c r="GXI377" s="50"/>
      <c r="GXJ377" s="50"/>
      <c r="GXK377" s="50"/>
      <c r="GXL377" s="50"/>
      <c r="GXM377" s="50"/>
      <c r="GXN377" s="50"/>
      <c r="GXO377" s="50"/>
      <c r="GXP377" s="50"/>
      <c r="GXQ377" s="50"/>
      <c r="GXR377" s="50"/>
      <c r="GXS377" s="50"/>
      <c r="GXT377" s="50"/>
      <c r="GXU377" s="50"/>
      <c r="GXV377" s="50"/>
      <c r="GXW377" s="50"/>
      <c r="GXX377" s="50"/>
      <c r="GXY377" s="50"/>
      <c r="GXZ377" s="50"/>
      <c r="GYA377" s="50"/>
      <c r="GYB377" s="50"/>
      <c r="GYC377" s="50"/>
      <c r="GYD377" s="50"/>
      <c r="GYE377" s="50"/>
      <c r="GYF377" s="50"/>
      <c r="GYG377" s="50"/>
      <c r="GYH377" s="50"/>
      <c r="GYI377" s="50"/>
      <c r="GYJ377" s="50"/>
      <c r="GYK377" s="50"/>
      <c r="GYL377" s="50"/>
      <c r="GYM377" s="50"/>
      <c r="GYN377" s="50"/>
      <c r="GYO377" s="50"/>
      <c r="GYP377" s="50"/>
      <c r="GYQ377" s="50"/>
      <c r="GYR377" s="50"/>
      <c r="GYS377" s="50"/>
      <c r="GYT377" s="50"/>
      <c r="GYU377" s="50"/>
      <c r="GYV377" s="50"/>
      <c r="GYW377" s="50"/>
      <c r="GYX377" s="50"/>
      <c r="GYY377" s="50"/>
      <c r="GYZ377" s="50"/>
      <c r="GZA377" s="50"/>
      <c r="GZB377" s="50"/>
      <c r="GZC377" s="50"/>
      <c r="GZD377" s="50"/>
      <c r="GZE377" s="50"/>
      <c r="GZF377" s="50"/>
      <c r="GZG377" s="50"/>
      <c r="GZH377" s="50"/>
      <c r="GZI377" s="50"/>
      <c r="GZJ377" s="50"/>
      <c r="GZK377" s="50"/>
      <c r="GZL377" s="50"/>
      <c r="GZM377" s="50"/>
      <c r="GZN377" s="50"/>
      <c r="GZO377" s="50"/>
      <c r="GZP377" s="50"/>
      <c r="GZQ377" s="50"/>
      <c r="GZR377" s="50"/>
      <c r="GZS377" s="50"/>
      <c r="GZT377" s="50"/>
      <c r="GZU377" s="50"/>
      <c r="GZV377" s="50"/>
      <c r="GZW377" s="50"/>
      <c r="GZX377" s="50"/>
      <c r="GZY377" s="50"/>
      <c r="GZZ377" s="50"/>
      <c r="HAA377" s="50"/>
      <c r="HAB377" s="50"/>
      <c r="HAC377" s="50"/>
      <c r="HAD377" s="50"/>
      <c r="HAE377" s="50"/>
      <c r="HAF377" s="50"/>
      <c r="HAG377" s="50"/>
      <c r="HAH377" s="50"/>
      <c r="HAI377" s="50"/>
      <c r="HAJ377" s="50"/>
      <c r="HAK377" s="50"/>
      <c r="HAL377" s="50"/>
      <c r="HAM377" s="50"/>
      <c r="HAN377" s="50"/>
      <c r="HAO377" s="50"/>
      <c r="HAP377" s="50"/>
      <c r="HAQ377" s="50"/>
      <c r="HAR377" s="50"/>
      <c r="HAS377" s="50"/>
      <c r="HAT377" s="50"/>
      <c r="HAU377" s="50"/>
      <c r="HAV377" s="50"/>
      <c r="HAW377" s="50"/>
      <c r="HAX377" s="50"/>
      <c r="HAY377" s="50"/>
      <c r="HAZ377" s="50"/>
      <c r="HBA377" s="50"/>
      <c r="HBB377" s="50"/>
      <c r="HBC377" s="50"/>
      <c r="HBD377" s="50"/>
      <c r="HBE377" s="50"/>
      <c r="HBF377" s="50"/>
      <c r="HBG377" s="50"/>
      <c r="HBH377" s="50"/>
      <c r="HBI377" s="50"/>
      <c r="HBJ377" s="50"/>
      <c r="HBK377" s="50"/>
      <c r="HBL377" s="50"/>
      <c r="HBM377" s="50"/>
      <c r="HBN377" s="50"/>
      <c r="HBO377" s="50"/>
      <c r="HBP377" s="50"/>
      <c r="HBQ377" s="50"/>
      <c r="HBR377" s="50"/>
      <c r="HBS377" s="50"/>
      <c r="HBT377" s="50"/>
      <c r="HBU377" s="50"/>
      <c r="HBV377" s="50"/>
      <c r="HBW377" s="50"/>
      <c r="HBX377" s="50"/>
      <c r="HBY377" s="50"/>
      <c r="HBZ377" s="50"/>
      <c r="HCA377" s="50"/>
      <c r="HCB377" s="50"/>
      <c r="HCC377" s="50"/>
      <c r="HCD377" s="50"/>
      <c r="HCE377" s="50"/>
      <c r="HCF377" s="50"/>
      <c r="HCG377" s="50"/>
      <c r="HCH377" s="50"/>
      <c r="HCI377" s="50"/>
      <c r="HCJ377" s="50"/>
      <c r="HCK377" s="50"/>
      <c r="HCL377" s="50"/>
      <c r="HCM377" s="50"/>
      <c r="HCN377" s="50"/>
      <c r="HCO377" s="50"/>
      <c r="HCP377" s="50"/>
      <c r="HCQ377" s="50"/>
      <c r="HCR377" s="50"/>
      <c r="HCS377" s="50"/>
      <c r="HCT377" s="50"/>
      <c r="HCU377" s="50"/>
      <c r="HCV377" s="50"/>
      <c r="HCW377" s="50"/>
      <c r="HCX377" s="50"/>
      <c r="HCY377" s="50"/>
      <c r="HCZ377" s="50"/>
      <c r="HDA377" s="50"/>
      <c r="HDB377" s="50"/>
      <c r="HDC377" s="50"/>
      <c r="HDD377" s="50"/>
      <c r="HDE377" s="50"/>
      <c r="HDF377" s="50"/>
      <c r="HDG377" s="50"/>
      <c r="HDH377" s="50"/>
      <c r="HDI377" s="50"/>
      <c r="HDJ377" s="50"/>
      <c r="HDK377" s="50"/>
      <c r="HDL377" s="50"/>
      <c r="HDM377" s="50"/>
      <c r="HDN377" s="50"/>
      <c r="HDO377" s="50"/>
      <c r="HDP377" s="50"/>
      <c r="HDQ377" s="50"/>
      <c r="HDR377" s="50"/>
      <c r="HDS377" s="50"/>
      <c r="HDT377" s="50"/>
      <c r="HDU377" s="50"/>
      <c r="HDV377" s="50"/>
      <c r="HDW377" s="50"/>
      <c r="HDX377" s="50"/>
      <c r="HDY377" s="50"/>
      <c r="HDZ377" s="50"/>
      <c r="HEA377" s="50"/>
      <c r="HEB377" s="50"/>
      <c r="HEC377" s="50"/>
      <c r="HED377" s="50"/>
      <c r="HEE377" s="50"/>
      <c r="HEF377" s="50"/>
      <c r="HEG377" s="50"/>
      <c r="HEH377" s="50"/>
      <c r="HEI377" s="50"/>
      <c r="HEJ377" s="50"/>
      <c r="HEK377" s="50"/>
      <c r="HEL377" s="50"/>
      <c r="HEM377" s="50"/>
      <c r="HEN377" s="50"/>
      <c r="HEO377" s="50"/>
      <c r="HEP377" s="50"/>
      <c r="HEQ377" s="50"/>
      <c r="HER377" s="50"/>
      <c r="HES377" s="50"/>
      <c r="HET377" s="50"/>
      <c r="HEU377" s="50"/>
      <c r="HEV377" s="50"/>
      <c r="HEW377" s="50"/>
      <c r="HEX377" s="50"/>
      <c r="HEY377" s="50"/>
      <c r="HEZ377" s="50"/>
      <c r="HFA377" s="50"/>
      <c r="HFB377" s="50"/>
      <c r="HFC377" s="50"/>
      <c r="HFD377" s="50"/>
      <c r="HFE377" s="50"/>
      <c r="HFF377" s="50"/>
      <c r="HFG377" s="50"/>
      <c r="HFH377" s="50"/>
      <c r="HFI377" s="50"/>
      <c r="HFJ377" s="50"/>
      <c r="HFK377" s="50"/>
      <c r="HFL377" s="50"/>
      <c r="HFM377" s="50"/>
      <c r="HFN377" s="50"/>
      <c r="HFO377" s="50"/>
      <c r="HFP377" s="50"/>
      <c r="HFQ377" s="50"/>
      <c r="HFR377" s="50"/>
      <c r="HFS377" s="50"/>
      <c r="HFT377" s="50"/>
      <c r="HFU377" s="50"/>
      <c r="HFV377" s="50"/>
      <c r="HFW377" s="50"/>
      <c r="HFX377" s="50"/>
      <c r="HFY377" s="50"/>
      <c r="HFZ377" s="50"/>
      <c r="HGA377" s="50"/>
      <c r="HGB377" s="50"/>
      <c r="HGC377" s="50"/>
      <c r="HGD377" s="50"/>
      <c r="HGE377" s="50"/>
      <c r="HGF377" s="50"/>
      <c r="HGG377" s="50"/>
      <c r="HGH377" s="50"/>
      <c r="HGI377" s="50"/>
      <c r="HGJ377" s="50"/>
      <c r="HGK377" s="50"/>
      <c r="HGL377" s="50"/>
      <c r="HGM377" s="50"/>
      <c r="HGN377" s="50"/>
      <c r="HGO377" s="50"/>
      <c r="HGP377" s="50"/>
      <c r="HGQ377" s="50"/>
      <c r="HGR377" s="50"/>
      <c r="HGS377" s="50"/>
      <c r="HGT377" s="50"/>
      <c r="HGU377" s="50"/>
      <c r="HGV377" s="50"/>
      <c r="HGW377" s="50"/>
      <c r="HGX377" s="50"/>
      <c r="HGY377" s="50"/>
      <c r="HGZ377" s="50"/>
      <c r="HHA377" s="50"/>
      <c r="HHB377" s="50"/>
      <c r="HHC377" s="50"/>
      <c r="HHD377" s="50"/>
      <c r="HHE377" s="50"/>
      <c r="HHF377" s="50"/>
      <c r="HHG377" s="50"/>
      <c r="HHH377" s="50"/>
      <c r="HHI377" s="50"/>
      <c r="HHJ377" s="50"/>
      <c r="HHK377" s="50"/>
      <c r="HHL377" s="50"/>
      <c r="HHM377" s="50"/>
      <c r="HHN377" s="50"/>
      <c r="HHO377" s="50"/>
      <c r="HHP377" s="50"/>
      <c r="HHQ377" s="50"/>
      <c r="HHR377" s="50"/>
      <c r="HHS377" s="50"/>
      <c r="HHT377" s="50"/>
      <c r="HHU377" s="50"/>
      <c r="HHV377" s="50"/>
      <c r="HHW377" s="50"/>
      <c r="HHX377" s="50"/>
      <c r="HHY377" s="50"/>
      <c r="HHZ377" s="50"/>
      <c r="HIA377" s="50"/>
      <c r="HIB377" s="50"/>
      <c r="HIC377" s="50"/>
      <c r="HID377" s="50"/>
      <c r="HIE377" s="50"/>
      <c r="HIF377" s="50"/>
      <c r="HIG377" s="50"/>
      <c r="HIH377" s="50"/>
      <c r="HII377" s="50"/>
      <c r="HIJ377" s="50"/>
      <c r="HIK377" s="50"/>
      <c r="HIL377" s="50"/>
      <c r="HIM377" s="50"/>
      <c r="HIN377" s="50"/>
      <c r="HIO377" s="50"/>
      <c r="HIP377" s="50"/>
      <c r="HIQ377" s="50"/>
      <c r="HIR377" s="50"/>
      <c r="HIS377" s="50"/>
      <c r="HIT377" s="50"/>
      <c r="HIU377" s="50"/>
      <c r="HIV377" s="50"/>
      <c r="HIW377" s="50"/>
      <c r="HIX377" s="50"/>
      <c r="HIY377" s="50"/>
      <c r="HIZ377" s="50"/>
      <c r="HJA377" s="50"/>
      <c r="HJB377" s="50"/>
      <c r="HJC377" s="50"/>
      <c r="HJD377" s="50"/>
      <c r="HJE377" s="50"/>
      <c r="HJF377" s="50"/>
      <c r="HJG377" s="50"/>
      <c r="HJH377" s="50"/>
      <c r="HJI377" s="50"/>
      <c r="HJJ377" s="50"/>
      <c r="HJK377" s="50"/>
      <c r="HJL377" s="50"/>
      <c r="HJM377" s="50"/>
      <c r="HJN377" s="50"/>
      <c r="HJO377" s="50"/>
      <c r="HJP377" s="50"/>
      <c r="HJQ377" s="50"/>
      <c r="HJR377" s="50"/>
      <c r="HJS377" s="50"/>
      <c r="HJT377" s="50"/>
      <c r="HJU377" s="50"/>
      <c r="HJV377" s="50"/>
      <c r="HJW377" s="50"/>
      <c r="HJX377" s="50"/>
      <c r="HJY377" s="50"/>
      <c r="HJZ377" s="50"/>
      <c r="HKA377" s="50"/>
      <c r="HKB377" s="50"/>
      <c r="HKC377" s="50"/>
      <c r="HKD377" s="50"/>
      <c r="HKE377" s="50"/>
      <c r="HKF377" s="50"/>
      <c r="HKG377" s="50"/>
      <c r="HKH377" s="50"/>
      <c r="HKI377" s="50"/>
      <c r="HKJ377" s="50"/>
      <c r="HKK377" s="50"/>
      <c r="HKL377" s="50"/>
      <c r="HKM377" s="50"/>
      <c r="HKN377" s="50"/>
      <c r="HKO377" s="50"/>
      <c r="HKP377" s="50"/>
      <c r="HKQ377" s="50"/>
      <c r="HKR377" s="50"/>
      <c r="HKS377" s="50"/>
      <c r="HKT377" s="50"/>
      <c r="HKU377" s="50"/>
      <c r="HKV377" s="50"/>
      <c r="HKW377" s="50"/>
      <c r="HKX377" s="50"/>
      <c r="HKY377" s="50"/>
      <c r="HKZ377" s="50"/>
      <c r="HLA377" s="50"/>
      <c r="HLB377" s="50"/>
      <c r="HLC377" s="50"/>
      <c r="HLD377" s="50"/>
      <c r="HLE377" s="50"/>
      <c r="HLF377" s="50"/>
      <c r="HLG377" s="50"/>
      <c r="HLH377" s="50"/>
      <c r="HLI377" s="50"/>
      <c r="HLJ377" s="50"/>
      <c r="HLK377" s="50"/>
      <c r="HLL377" s="50"/>
      <c r="HLM377" s="50"/>
      <c r="HLN377" s="50"/>
      <c r="HLO377" s="50"/>
      <c r="HLP377" s="50"/>
      <c r="HLQ377" s="50"/>
      <c r="HLR377" s="50"/>
      <c r="HLS377" s="50"/>
      <c r="HLT377" s="50"/>
      <c r="HLU377" s="50"/>
      <c r="HLV377" s="50"/>
      <c r="HLW377" s="50"/>
      <c r="HLX377" s="50"/>
      <c r="HLY377" s="50"/>
      <c r="HLZ377" s="50"/>
      <c r="HMA377" s="50"/>
      <c r="HMB377" s="50"/>
      <c r="HMC377" s="50"/>
      <c r="HMD377" s="50"/>
      <c r="HME377" s="50"/>
      <c r="HMF377" s="50"/>
      <c r="HMG377" s="50"/>
      <c r="HMH377" s="50"/>
      <c r="HMI377" s="50"/>
      <c r="HMJ377" s="50"/>
      <c r="HMK377" s="50"/>
      <c r="HML377" s="50"/>
      <c r="HMM377" s="50"/>
      <c r="HMN377" s="50"/>
      <c r="HMO377" s="50"/>
      <c r="HMP377" s="50"/>
      <c r="HMQ377" s="50"/>
      <c r="HMR377" s="50"/>
      <c r="HMS377" s="50"/>
      <c r="HMT377" s="50"/>
      <c r="HMU377" s="50"/>
      <c r="HMV377" s="50"/>
      <c r="HMW377" s="50"/>
      <c r="HMX377" s="50"/>
      <c r="HMY377" s="50"/>
      <c r="HMZ377" s="50"/>
      <c r="HNA377" s="50"/>
      <c r="HNB377" s="50"/>
      <c r="HNC377" s="50"/>
      <c r="HND377" s="50"/>
      <c r="HNE377" s="50"/>
      <c r="HNF377" s="50"/>
      <c r="HNG377" s="50"/>
      <c r="HNH377" s="50"/>
      <c r="HNI377" s="50"/>
      <c r="HNJ377" s="50"/>
      <c r="HNK377" s="50"/>
      <c r="HNL377" s="50"/>
      <c r="HNM377" s="50"/>
      <c r="HNN377" s="50"/>
      <c r="HNO377" s="50"/>
      <c r="HNP377" s="50"/>
      <c r="HNQ377" s="50"/>
      <c r="HNR377" s="50"/>
      <c r="HNS377" s="50"/>
      <c r="HNT377" s="50"/>
      <c r="HNU377" s="50"/>
      <c r="HNV377" s="50"/>
      <c r="HNW377" s="50"/>
      <c r="HNX377" s="50"/>
      <c r="HNY377" s="50"/>
      <c r="HNZ377" s="50"/>
      <c r="HOA377" s="50"/>
      <c r="HOB377" s="50"/>
      <c r="HOC377" s="50"/>
      <c r="HOD377" s="50"/>
      <c r="HOE377" s="50"/>
      <c r="HOF377" s="50"/>
      <c r="HOG377" s="50"/>
      <c r="HOH377" s="50"/>
      <c r="HOI377" s="50"/>
      <c r="HOJ377" s="50"/>
      <c r="HOK377" s="50"/>
      <c r="HOL377" s="50"/>
      <c r="HOM377" s="50"/>
      <c r="HON377" s="50"/>
      <c r="HOO377" s="50"/>
      <c r="HOP377" s="50"/>
      <c r="HOQ377" s="50"/>
      <c r="HOR377" s="50"/>
      <c r="HOS377" s="50"/>
      <c r="HOT377" s="50"/>
      <c r="HOU377" s="50"/>
      <c r="HOV377" s="50"/>
      <c r="HOW377" s="50"/>
      <c r="HOX377" s="50"/>
      <c r="HOY377" s="50"/>
      <c r="HOZ377" s="50"/>
      <c r="HPA377" s="50"/>
      <c r="HPB377" s="50"/>
      <c r="HPC377" s="50"/>
      <c r="HPD377" s="50"/>
      <c r="HPE377" s="50"/>
      <c r="HPF377" s="50"/>
      <c r="HPG377" s="50"/>
      <c r="HPH377" s="50"/>
      <c r="HPI377" s="50"/>
      <c r="HPJ377" s="50"/>
      <c r="HPK377" s="50"/>
      <c r="HPL377" s="50"/>
      <c r="HPM377" s="50"/>
      <c r="HPN377" s="50"/>
      <c r="HPO377" s="50"/>
      <c r="HPP377" s="50"/>
      <c r="HPQ377" s="50"/>
      <c r="HPR377" s="50"/>
      <c r="HPS377" s="50"/>
      <c r="HPT377" s="50"/>
      <c r="HPU377" s="50"/>
      <c r="HPV377" s="50"/>
      <c r="HPW377" s="50"/>
      <c r="HPX377" s="50"/>
      <c r="HPY377" s="50"/>
      <c r="HPZ377" s="50"/>
      <c r="HQA377" s="50"/>
      <c r="HQB377" s="50"/>
      <c r="HQC377" s="50"/>
      <c r="HQD377" s="50"/>
      <c r="HQE377" s="50"/>
      <c r="HQF377" s="50"/>
      <c r="HQG377" s="50"/>
      <c r="HQH377" s="50"/>
      <c r="HQI377" s="50"/>
      <c r="HQJ377" s="50"/>
      <c r="HQK377" s="50"/>
      <c r="HQL377" s="50"/>
      <c r="HQM377" s="50"/>
      <c r="HQN377" s="50"/>
      <c r="HQO377" s="50"/>
      <c r="HQP377" s="50"/>
      <c r="HQQ377" s="50"/>
      <c r="HQR377" s="50"/>
      <c r="HQS377" s="50"/>
      <c r="HQT377" s="50"/>
      <c r="HQU377" s="50"/>
      <c r="HQV377" s="50"/>
      <c r="HQW377" s="50"/>
      <c r="HQX377" s="50"/>
      <c r="HQY377" s="50"/>
      <c r="HQZ377" s="50"/>
      <c r="HRA377" s="50"/>
      <c r="HRB377" s="50"/>
      <c r="HRC377" s="50"/>
      <c r="HRD377" s="50"/>
      <c r="HRE377" s="50"/>
      <c r="HRF377" s="50"/>
      <c r="HRG377" s="50"/>
      <c r="HRH377" s="50"/>
      <c r="HRI377" s="50"/>
      <c r="HRJ377" s="50"/>
      <c r="HRK377" s="50"/>
      <c r="HRL377" s="50"/>
      <c r="HRM377" s="50"/>
      <c r="HRN377" s="50"/>
      <c r="HRO377" s="50"/>
      <c r="HRP377" s="50"/>
      <c r="HRQ377" s="50"/>
      <c r="HRR377" s="50"/>
      <c r="HRS377" s="50"/>
      <c r="HRT377" s="50"/>
      <c r="HRU377" s="50"/>
      <c r="HRV377" s="50"/>
      <c r="HRW377" s="50"/>
      <c r="HRX377" s="50"/>
      <c r="HRY377" s="50"/>
      <c r="HRZ377" s="50"/>
      <c r="HSA377" s="50"/>
      <c r="HSB377" s="50"/>
      <c r="HSC377" s="50"/>
      <c r="HSD377" s="50"/>
      <c r="HSE377" s="50"/>
      <c r="HSF377" s="50"/>
      <c r="HSG377" s="50"/>
      <c r="HSH377" s="50"/>
      <c r="HSI377" s="50"/>
      <c r="HSJ377" s="50"/>
      <c r="HSK377" s="50"/>
      <c r="HSL377" s="50"/>
      <c r="HSM377" s="50"/>
      <c r="HSN377" s="50"/>
      <c r="HSO377" s="50"/>
      <c r="HSP377" s="50"/>
      <c r="HSQ377" s="50"/>
      <c r="HSR377" s="50"/>
      <c r="HSS377" s="50"/>
      <c r="HST377" s="50"/>
      <c r="HSU377" s="50"/>
      <c r="HSV377" s="50"/>
      <c r="HSW377" s="50"/>
      <c r="HSX377" s="50"/>
      <c r="HSY377" s="50"/>
      <c r="HSZ377" s="50"/>
      <c r="HTA377" s="50"/>
      <c r="HTB377" s="50"/>
      <c r="HTC377" s="50"/>
      <c r="HTD377" s="50"/>
      <c r="HTE377" s="50"/>
      <c r="HTF377" s="50"/>
      <c r="HTG377" s="50"/>
      <c r="HTH377" s="50"/>
      <c r="HTI377" s="50"/>
      <c r="HTJ377" s="50"/>
      <c r="HTK377" s="50"/>
      <c r="HTL377" s="50"/>
      <c r="HTM377" s="50"/>
      <c r="HTN377" s="50"/>
      <c r="HTO377" s="50"/>
      <c r="HTP377" s="50"/>
      <c r="HTQ377" s="50"/>
      <c r="HTR377" s="50"/>
      <c r="HTS377" s="50"/>
      <c r="HTT377" s="50"/>
      <c r="HTU377" s="50"/>
      <c r="HTV377" s="50"/>
      <c r="HTW377" s="50"/>
      <c r="HTX377" s="50"/>
      <c r="HTY377" s="50"/>
      <c r="HTZ377" s="50"/>
      <c r="HUA377" s="50"/>
      <c r="HUB377" s="50"/>
      <c r="HUC377" s="50"/>
      <c r="HUD377" s="50"/>
      <c r="HUE377" s="50"/>
      <c r="HUF377" s="50"/>
      <c r="HUG377" s="50"/>
      <c r="HUH377" s="50"/>
      <c r="HUI377" s="50"/>
      <c r="HUJ377" s="50"/>
      <c r="HUK377" s="50"/>
      <c r="HUL377" s="50"/>
      <c r="HUM377" s="50"/>
      <c r="HUN377" s="50"/>
      <c r="HUO377" s="50"/>
      <c r="HUP377" s="50"/>
      <c r="HUQ377" s="50"/>
      <c r="HUR377" s="50"/>
      <c r="HUS377" s="50"/>
      <c r="HUT377" s="50"/>
      <c r="HUU377" s="50"/>
      <c r="HUV377" s="50"/>
      <c r="HUW377" s="50"/>
      <c r="HUX377" s="50"/>
      <c r="HUY377" s="50"/>
      <c r="HUZ377" s="50"/>
      <c r="HVA377" s="50"/>
      <c r="HVB377" s="50"/>
      <c r="HVC377" s="50"/>
      <c r="HVD377" s="50"/>
      <c r="HVE377" s="50"/>
      <c r="HVF377" s="50"/>
      <c r="HVG377" s="50"/>
      <c r="HVH377" s="50"/>
      <c r="HVI377" s="50"/>
      <c r="HVJ377" s="50"/>
      <c r="HVK377" s="50"/>
      <c r="HVL377" s="50"/>
      <c r="HVM377" s="50"/>
      <c r="HVN377" s="50"/>
      <c r="HVO377" s="50"/>
      <c r="HVP377" s="50"/>
      <c r="HVQ377" s="50"/>
      <c r="HVR377" s="50"/>
      <c r="HVS377" s="50"/>
      <c r="HVT377" s="50"/>
      <c r="HVU377" s="50"/>
      <c r="HVV377" s="50"/>
      <c r="HVW377" s="50"/>
      <c r="HVX377" s="50"/>
      <c r="HVY377" s="50"/>
      <c r="HVZ377" s="50"/>
      <c r="HWA377" s="50"/>
      <c r="HWB377" s="50"/>
      <c r="HWC377" s="50"/>
      <c r="HWD377" s="50"/>
      <c r="HWE377" s="50"/>
      <c r="HWF377" s="50"/>
      <c r="HWG377" s="50"/>
      <c r="HWH377" s="50"/>
      <c r="HWI377" s="50"/>
      <c r="HWJ377" s="50"/>
      <c r="HWK377" s="50"/>
      <c r="HWL377" s="50"/>
      <c r="HWM377" s="50"/>
      <c r="HWN377" s="50"/>
      <c r="HWO377" s="50"/>
      <c r="HWP377" s="50"/>
      <c r="HWQ377" s="50"/>
      <c r="HWR377" s="50"/>
      <c r="HWS377" s="50"/>
      <c r="HWT377" s="50"/>
      <c r="HWU377" s="50"/>
      <c r="HWV377" s="50"/>
      <c r="HWW377" s="50"/>
      <c r="HWX377" s="50"/>
      <c r="HWY377" s="50"/>
      <c r="HWZ377" s="50"/>
      <c r="HXA377" s="50"/>
      <c r="HXB377" s="50"/>
      <c r="HXC377" s="50"/>
      <c r="HXD377" s="50"/>
      <c r="HXE377" s="50"/>
      <c r="HXF377" s="50"/>
      <c r="HXG377" s="50"/>
      <c r="HXH377" s="50"/>
      <c r="HXI377" s="50"/>
      <c r="HXJ377" s="50"/>
      <c r="HXK377" s="50"/>
      <c r="HXL377" s="50"/>
      <c r="HXM377" s="50"/>
      <c r="HXN377" s="50"/>
      <c r="HXO377" s="50"/>
      <c r="HXP377" s="50"/>
      <c r="HXQ377" s="50"/>
      <c r="HXR377" s="50"/>
      <c r="HXS377" s="50"/>
      <c r="HXT377" s="50"/>
      <c r="HXU377" s="50"/>
      <c r="HXV377" s="50"/>
      <c r="HXW377" s="50"/>
      <c r="HXX377" s="50"/>
      <c r="HXY377" s="50"/>
      <c r="HXZ377" s="50"/>
      <c r="HYA377" s="50"/>
      <c r="HYB377" s="50"/>
      <c r="HYC377" s="50"/>
      <c r="HYD377" s="50"/>
      <c r="HYE377" s="50"/>
      <c r="HYF377" s="50"/>
      <c r="HYG377" s="50"/>
      <c r="HYH377" s="50"/>
      <c r="HYI377" s="50"/>
      <c r="HYJ377" s="50"/>
      <c r="HYK377" s="50"/>
      <c r="HYL377" s="50"/>
      <c r="HYM377" s="50"/>
      <c r="HYN377" s="50"/>
      <c r="HYO377" s="50"/>
      <c r="HYP377" s="50"/>
      <c r="HYQ377" s="50"/>
      <c r="HYR377" s="50"/>
      <c r="HYS377" s="50"/>
      <c r="HYT377" s="50"/>
      <c r="HYU377" s="50"/>
      <c r="HYV377" s="50"/>
      <c r="HYW377" s="50"/>
      <c r="HYX377" s="50"/>
      <c r="HYY377" s="50"/>
      <c r="HYZ377" s="50"/>
      <c r="HZA377" s="50"/>
      <c r="HZB377" s="50"/>
      <c r="HZC377" s="50"/>
      <c r="HZD377" s="50"/>
      <c r="HZE377" s="50"/>
      <c r="HZF377" s="50"/>
      <c r="HZG377" s="50"/>
      <c r="HZH377" s="50"/>
      <c r="HZI377" s="50"/>
      <c r="HZJ377" s="50"/>
      <c r="HZK377" s="50"/>
      <c r="HZL377" s="50"/>
      <c r="HZM377" s="50"/>
      <c r="HZN377" s="50"/>
      <c r="HZO377" s="50"/>
      <c r="HZP377" s="50"/>
      <c r="HZQ377" s="50"/>
      <c r="HZR377" s="50"/>
      <c r="HZS377" s="50"/>
      <c r="HZT377" s="50"/>
      <c r="HZU377" s="50"/>
      <c r="HZV377" s="50"/>
      <c r="HZW377" s="50"/>
      <c r="HZX377" s="50"/>
      <c r="HZY377" s="50"/>
      <c r="HZZ377" s="50"/>
      <c r="IAA377" s="50"/>
      <c r="IAB377" s="50"/>
      <c r="IAC377" s="50"/>
      <c r="IAD377" s="50"/>
      <c r="IAE377" s="50"/>
      <c r="IAF377" s="50"/>
      <c r="IAG377" s="50"/>
      <c r="IAH377" s="50"/>
      <c r="IAI377" s="50"/>
      <c r="IAJ377" s="50"/>
      <c r="IAK377" s="50"/>
      <c r="IAL377" s="50"/>
      <c r="IAM377" s="50"/>
      <c r="IAN377" s="50"/>
      <c r="IAO377" s="50"/>
      <c r="IAP377" s="50"/>
      <c r="IAQ377" s="50"/>
      <c r="IAR377" s="50"/>
      <c r="IAS377" s="50"/>
      <c r="IAT377" s="50"/>
      <c r="IAU377" s="50"/>
      <c r="IAV377" s="50"/>
      <c r="IAW377" s="50"/>
      <c r="IAX377" s="50"/>
      <c r="IAY377" s="50"/>
      <c r="IAZ377" s="50"/>
      <c r="IBA377" s="50"/>
      <c r="IBB377" s="50"/>
      <c r="IBC377" s="50"/>
      <c r="IBD377" s="50"/>
      <c r="IBE377" s="50"/>
      <c r="IBF377" s="50"/>
      <c r="IBG377" s="50"/>
      <c r="IBH377" s="50"/>
      <c r="IBI377" s="50"/>
      <c r="IBJ377" s="50"/>
      <c r="IBK377" s="50"/>
      <c r="IBL377" s="50"/>
      <c r="IBM377" s="50"/>
      <c r="IBN377" s="50"/>
      <c r="IBO377" s="50"/>
      <c r="IBP377" s="50"/>
      <c r="IBQ377" s="50"/>
      <c r="IBR377" s="50"/>
      <c r="IBS377" s="50"/>
      <c r="IBT377" s="50"/>
      <c r="IBU377" s="50"/>
      <c r="IBV377" s="50"/>
      <c r="IBW377" s="50"/>
      <c r="IBX377" s="50"/>
      <c r="IBY377" s="50"/>
      <c r="IBZ377" s="50"/>
      <c r="ICA377" s="50"/>
      <c r="ICB377" s="50"/>
      <c r="ICC377" s="50"/>
      <c r="ICD377" s="50"/>
      <c r="ICE377" s="50"/>
      <c r="ICF377" s="50"/>
      <c r="ICG377" s="50"/>
      <c r="ICH377" s="50"/>
      <c r="ICI377" s="50"/>
      <c r="ICJ377" s="50"/>
      <c r="ICK377" s="50"/>
      <c r="ICL377" s="50"/>
      <c r="ICM377" s="50"/>
      <c r="ICN377" s="50"/>
      <c r="ICO377" s="50"/>
      <c r="ICP377" s="50"/>
      <c r="ICQ377" s="50"/>
      <c r="ICR377" s="50"/>
      <c r="ICS377" s="50"/>
      <c r="ICT377" s="50"/>
      <c r="ICU377" s="50"/>
      <c r="ICV377" s="50"/>
      <c r="ICW377" s="50"/>
      <c r="ICX377" s="50"/>
      <c r="ICY377" s="50"/>
      <c r="ICZ377" s="50"/>
      <c r="IDA377" s="50"/>
      <c r="IDB377" s="50"/>
      <c r="IDC377" s="50"/>
      <c r="IDD377" s="50"/>
      <c r="IDE377" s="50"/>
      <c r="IDF377" s="50"/>
      <c r="IDG377" s="50"/>
      <c r="IDH377" s="50"/>
      <c r="IDI377" s="50"/>
      <c r="IDJ377" s="50"/>
      <c r="IDK377" s="50"/>
      <c r="IDL377" s="50"/>
      <c r="IDM377" s="50"/>
      <c r="IDN377" s="50"/>
      <c r="IDO377" s="50"/>
      <c r="IDP377" s="50"/>
      <c r="IDQ377" s="50"/>
      <c r="IDR377" s="50"/>
      <c r="IDS377" s="50"/>
      <c r="IDT377" s="50"/>
      <c r="IDU377" s="50"/>
      <c r="IDV377" s="50"/>
      <c r="IDW377" s="50"/>
      <c r="IDX377" s="50"/>
      <c r="IDY377" s="50"/>
      <c r="IDZ377" s="50"/>
      <c r="IEA377" s="50"/>
      <c r="IEB377" s="50"/>
      <c r="IEC377" s="50"/>
      <c r="IED377" s="50"/>
      <c r="IEE377" s="50"/>
      <c r="IEF377" s="50"/>
      <c r="IEG377" s="50"/>
      <c r="IEH377" s="50"/>
      <c r="IEI377" s="50"/>
      <c r="IEJ377" s="50"/>
      <c r="IEK377" s="50"/>
      <c r="IEL377" s="50"/>
      <c r="IEM377" s="50"/>
      <c r="IEN377" s="50"/>
      <c r="IEO377" s="50"/>
      <c r="IEP377" s="50"/>
      <c r="IEQ377" s="50"/>
      <c r="IER377" s="50"/>
      <c r="IES377" s="50"/>
      <c r="IET377" s="50"/>
      <c r="IEU377" s="50"/>
      <c r="IEV377" s="50"/>
      <c r="IEW377" s="50"/>
      <c r="IEX377" s="50"/>
      <c r="IEY377" s="50"/>
      <c r="IEZ377" s="50"/>
      <c r="IFA377" s="50"/>
      <c r="IFB377" s="50"/>
      <c r="IFC377" s="50"/>
      <c r="IFD377" s="50"/>
      <c r="IFE377" s="50"/>
      <c r="IFF377" s="50"/>
      <c r="IFG377" s="50"/>
      <c r="IFH377" s="50"/>
      <c r="IFI377" s="50"/>
      <c r="IFJ377" s="50"/>
      <c r="IFK377" s="50"/>
      <c r="IFL377" s="50"/>
      <c r="IFM377" s="50"/>
      <c r="IFN377" s="50"/>
      <c r="IFO377" s="50"/>
      <c r="IFP377" s="50"/>
      <c r="IFQ377" s="50"/>
      <c r="IFR377" s="50"/>
      <c r="IFS377" s="50"/>
      <c r="IFT377" s="50"/>
      <c r="IFU377" s="50"/>
      <c r="IFV377" s="50"/>
      <c r="IFW377" s="50"/>
      <c r="IFX377" s="50"/>
      <c r="IFY377" s="50"/>
      <c r="IFZ377" s="50"/>
      <c r="IGA377" s="50"/>
      <c r="IGB377" s="50"/>
      <c r="IGC377" s="50"/>
      <c r="IGD377" s="50"/>
      <c r="IGE377" s="50"/>
      <c r="IGF377" s="50"/>
      <c r="IGG377" s="50"/>
      <c r="IGH377" s="50"/>
      <c r="IGI377" s="50"/>
      <c r="IGJ377" s="50"/>
      <c r="IGK377" s="50"/>
      <c r="IGL377" s="50"/>
      <c r="IGM377" s="50"/>
      <c r="IGN377" s="50"/>
      <c r="IGO377" s="50"/>
      <c r="IGP377" s="50"/>
      <c r="IGQ377" s="50"/>
      <c r="IGR377" s="50"/>
      <c r="IGS377" s="50"/>
      <c r="IGT377" s="50"/>
      <c r="IGU377" s="50"/>
      <c r="IGV377" s="50"/>
      <c r="IGW377" s="50"/>
      <c r="IGX377" s="50"/>
      <c r="IGY377" s="50"/>
      <c r="IGZ377" s="50"/>
      <c r="IHA377" s="50"/>
      <c r="IHB377" s="50"/>
      <c r="IHC377" s="50"/>
      <c r="IHD377" s="50"/>
      <c r="IHE377" s="50"/>
      <c r="IHF377" s="50"/>
      <c r="IHG377" s="50"/>
      <c r="IHH377" s="50"/>
      <c r="IHI377" s="50"/>
      <c r="IHJ377" s="50"/>
      <c r="IHK377" s="50"/>
      <c r="IHL377" s="50"/>
      <c r="IHM377" s="50"/>
      <c r="IHN377" s="50"/>
      <c r="IHO377" s="50"/>
      <c r="IHP377" s="50"/>
      <c r="IHQ377" s="50"/>
      <c r="IHR377" s="50"/>
      <c r="IHS377" s="50"/>
      <c r="IHT377" s="50"/>
      <c r="IHU377" s="50"/>
      <c r="IHV377" s="50"/>
      <c r="IHW377" s="50"/>
      <c r="IHX377" s="50"/>
      <c r="IHY377" s="50"/>
      <c r="IHZ377" s="50"/>
      <c r="IIA377" s="50"/>
      <c r="IIB377" s="50"/>
      <c r="IIC377" s="50"/>
      <c r="IID377" s="50"/>
      <c r="IIE377" s="50"/>
      <c r="IIF377" s="50"/>
      <c r="IIG377" s="50"/>
      <c r="IIH377" s="50"/>
      <c r="III377" s="50"/>
      <c r="IIJ377" s="50"/>
      <c r="IIK377" s="50"/>
      <c r="IIL377" s="50"/>
      <c r="IIM377" s="50"/>
      <c r="IIN377" s="50"/>
      <c r="IIO377" s="50"/>
      <c r="IIP377" s="50"/>
      <c r="IIQ377" s="50"/>
      <c r="IIR377" s="50"/>
      <c r="IIS377" s="50"/>
      <c r="IIT377" s="50"/>
      <c r="IIU377" s="50"/>
      <c r="IIV377" s="50"/>
      <c r="IIW377" s="50"/>
      <c r="IIX377" s="50"/>
      <c r="IIY377" s="50"/>
      <c r="IIZ377" s="50"/>
      <c r="IJA377" s="50"/>
      <c r="IJB377" s="50"/>
      <c r="IJC377" s="50"/>
      <c r="IJD377" s="50"/>
      <c r="IJE377" s="50"/>
      <c r="IJF377" s="50"/>
      <c r="IJG377" s="50"/>
      <c r="IJH377" s="50"/>
      <c r="IJI377" s="50"/>
      <c r="IJJ377" s="50"/>
      <c r="IJK377" s="50"/>
      <c r="IJL377" s="50"/>
      <c r="IJM377" s="50"/>
      <c r="IJN377" s="50"/>
      <c r="IJO377" s="50"/>
      <c r="IJP377" s="50"/>
      <c r="IJQ377" s="50"/>
      <c r="IJR377" s="50"/>
      <c r="IJS377" s="50"/>
      <c r="IJT377" s="50"/>
      <c r="IJU377" s="50"/>
      <c r="IJV377" s="50"/>
      <c r="IJW377" s="50"/>
      <c r="IJX377" s="50"/>
      <c r="IJY377" s="50"/>
      <c r="IJZ377" s="50"/>
      <c r="IKA377" s="50"/>
      <c r="IKB377" s="50"/>
      <c r="IKC377" s="50"/>
      <c r="IKD377" s="50"/>
      <c r="IKE377" s="50"/>
      <c r="IKF377" s="50"/>
      <c r="IKG377" s="50"/>
      <c r="IKH377" s="50"/>
      <c r="IKI377" s="50"/>
      <c r="IKJ377" s="50"/>
      <c r="IKK377" s="50"/>
      <c r="IKL377" s="50"/>
      <c r="IKM377" s="50"/>
      <c r="IKN377" s="50"/>
      <c r="IKO377" s="50"/>
      <c r="IKP377" s="50"/>
      <c r="IKQ377" s="50"/>
      <c r="IKR377" s="50"/>
      <c r="IKS377" s="50"/>
      <c r="IKT377" s="50"/>
      <c r="IKU377" s="50"/>
      <c r="IKV377" s="50"/>
      <c r="IKW377" s="50"/>
      <c r="IKX377" s="50"/>
      <c r="IKY377" s="50"/>
      <c r="IKZ377" s="50"/>
      <c r="ILA377" s="50"/>
      <c r="ILB377" s="50"/>
      <c r="ILC377" s="50"/>
      <c r="ILD377" s="50"/>
      <c r="ILE377" s="50"/>
      <c r="ILF377" s="50"/>
      <c r="ILG377" s="50"/>
      <c r="ILH377" s="50"/>
      <c r="ILI377" s="50"/>
      <c r="ILJ377" s="50"/>
      <c r="ILK377" s="50"/>
      <c r="ILL377" s="50"/>
      <c r="ILM377" s="50"/>
      <c r="ILN377" s="50"/>
      <c r="ILO377" s="50"/>
      <c r="ILP377" s="50"/>
      <c r="ILQ377" s="50"/>
      <c r="ILR377" s="50"/>
      <c r="ILS377" s="50"/>
      <c r="ILT377" s="50"/>
      <c r="ILU377" s="50"/>
      <c r="ILV377" s="50"/>
      <c r="ILW377" s="50"/>
      <c r="ILX377" s="50"/>
      <c r="ILY377" s="50"/>
      <c r="ILZ377" s="50"/>
      <c r="IMA377" s="50"/>
      <c r="IMB377" s="50"/>
      <c r="IMC377" s="50"/>
      <c r="IMD377" s="50"/>
      <c r="IME377" s="50"/>
      <c r="IMF377" s="50"/>
      <c r="IMG377" s="50"/>
      <c r="IMH377" s="50"/>
      <c r="IMI377" s="50"/>
      <c r="IMJ377" s="50"/>
      <c r="IMK377" s="50"/>
      <c r="IML377" s="50"/>
      <c r="IMM377" s="50"/>
      <c r="IMN377" s="50"/>
      <c r="IMO377" s="50"/>
      <c r="IMP377" s="50"/>
      <c r="IMQ377" s="50"/>
      <c r="IMR377" s="50"/>
      <c r="IMS377" s="50"/>
      <c r="IMT377" s="50"/>
      <c r="IMU377" s="50"/>
      <c r="IMV377" s="50"/>
      <c r="IMW377" s="50"/>
      <c r="IMX377" s="50"/>
      <c r="IMY377" s="50"/>
      <c r="IMZ377" s="50"/>
      <c r="INA377" s="50"/>
      <c r="INB377" s="50"/>
      <c r="INC377" s="50"/>
      <c r="IND377" s="50"/>
      <c r="INE377" s="50"/>
      <c r="INF377" s="50"/>
      <c r="ING377" s="50"/>
      <c r="INH377" s="50"/>
      <c r="INI377" s="50"/>
      <c r="INJ377" s="50"/>
      <c r="INK377" s="50"/>
      <c r="INL377" s="50"/>
      <c r="INM377" s="50"/>
      <c r="INN377" s="50"/>
      <c r="INO377" s="50"/>
      <c r="INP377" s="50"/>
      <c r="INQ377" s="50"/>
      <c r="INR377" s="50"/>
      <c r="INS377" s="50"/>
      <c r="INT377" s="50"/>
      <c r="INU377" s="50"/>
      <c r="INV377" s="50"/>
      <c r="INW377" s="50"/>
      <c r="INX377" s="50"/>
      <c r="INY377" s="50"/>
      <c r="INZ377" s="50"/>
      <c r="IOA377" s="50"/>
      <c r="IOB377" s="50"/>
      <c r="IOC377" s="50"/>
      <c r="IOD377" s="50"/>
      <c r="IOE377" s="50"/>
      <c r="IOF377" s="50"/>
      <c r="IOG377" s="50"/>
      <c r="IOH377" s="50"/>
      <c r="IOI377" s="50"/>
      <c r="IOJ377" s="50"/>
      <c r="IOK377" s="50"/>
      <c r="IOL377" s="50"/>
      <c r="IOM377" s="50"/>
      <c r="ION377" s="50"/>
      <c r="IOO377" s="50"/>
      <c r="IOP377" s="50"/>
      <c r="IOQ377" s="50"/>
      <c r="IOR377" s="50"/>
      <c r="IOS377" s="50"/>
      <c r="IOT377" s="50"/>
      <c r="IOU377" s="50"/>
      <c r="IOV377" s="50"/>
      <c r="IOW377" s="50"/>
      <c r="IOX377" s="50"/>
      <c r="IOY377" s="50"/>
      <c r="IOZ377" s="50"/>
      <c r="IPA377" s="50"/>
      <c r="IPB377" s="50"/>
      <c r="IPC377" s="50"/>
      <c r="IPD377" s="50"/>
      <c r="IPE377" s="50"/>
      <c r="IPF377" s="50"/>
      <c r="IPG377" s="50"/>
      <c r="IPH377" s="50"/>
      <c r="IPI377" s="50"/>
      <c r="IPJ377" s="50"/>
      <c r="IPK377" s="50"/>
      <c r="IPL377" s="50"/>
      <c r="IPM377" s="50"/>
      <c r="IPN377" s="50"/>
      <c r="IPO377" s="50"/>
      <c r="IPP377" s="50"/>
      <c r="IPQ377" s="50"/>
      <c r="IPR377" s="50"/>
      <c r="IPS377" s="50"/>
      <c r="IPT377" s="50"/>
      <c r="IPU377" s="50"/>
      <c r="IPV377" s="50"/>
      <c r="IPW377" s="50"/>
      <c r="IPX377" s="50"/>
      <c r="IPY377" s="50"/>
      <c r="IPZ377" s="50"/>
      <c r="IQA377" s="50"/>
      <c r="IQB377" s="50"/>
      <c r="IQC377" s="50"/>
      <c r="IQD377" s="50"/>
      <c r="IQE377" s="50"/>
      <c r="IQF377" s="50"/>
      <c r="IQG377" s="50"/>
      <c r="IQH377" s="50"/>
      <c r="IQI377" s="50"/>
      <c r="IQJ377" s="50"/>
      <c r="IQK377" s="50"/>
      <c r="IQL377" s="50"/>
      <c r="IQM377" s="50"/>
      <c r="IQN377" s="50"/>
      <c r="IQO377" s="50"/>
      <c r="IQP377" s="50"/>
      <c r="IQQ377" s="50"/>
      <c r="IQR377" s="50"/>
      <c r="IQS377" s="50"/>
      <c r="IQT377" s="50"/>
      <c r="IQU377" s="50"/>
      <c r="IQV377" s="50"/>
      <c r="IQW377" s="50"/>
      <c r="IQX377" s="50"/>
      <c r="IQY377" s="50"/>
      <c r="IQZ377" s="50"/>
      <c r="IRA377" s="50"/>
      <c r="IRB377" s="50"/>
      <c r="IRC377" s="50"/>
      <c r="IRD377" s="50"/>
      <c r="IRE377" s="50"/>
      <c r="IRF377" s="50"/>
      <c r="IRG377" s="50"/>
      <c r="IRH377" s="50"/>
      <c r="IRI377" s="50"/>
      <c r="IRJ377" s="50"/>
      <c r="IRK377" s="50"/>
      <c r="IRL377" s="50"/>
      <c r="IRM377" s="50"/>
      <c r="IRN377" s="50"/>
      <c r="IRO377" s="50"/>
      <c r="IRP377" s="50"/>
      <c r="IRQ377" s="50"/>
      <c r="IRR377" s="50"/>
      <c r="IRS377" s="50"/>
      <c r="IRT377" s="50"/>
      <c r="IRU377" s="50"/>
      <c r="IRV377" s="50"/>
      <c r="IRW377" s="50"/>
      <c r="IRX377" s="50"/>
      <c r="IRY377" s="50"/>
      <c r="IRZ377" s="50"/>
      <c r="ISA377" s="50"/>
      <c r="ISB377" s="50"/>
      <c r="ISC377" s="50"/>
      <c r="ISD377" s="50"/>
      <c r="ISE377" s="50"/>
      <c r="ISF377" s="50"/>
      <c r="ISG377" s="50"/>
      <c r="ISH377" s="50"/>
      <c r="ISI377" s="50"/>
      <c r="ISJ377" s="50"/>
      <c r="ISK377" s="50"/>
      <c r="ISL377" s="50"/>
      <c r="ISM377" s="50"/>
      <c r="ISN377" s="50"/>
      <c r="ISO377" s="50"/>
      <c r="ISP377" s="50"/>
      <c r="ISQ377" s="50"/>
      <c r="ISR377" s="50"/>
      <c r="ISS377" s="50"/>
      <c r="IST377" s="50"/>
      <c r="ISU377" s="50"/>
      <c r="ISV377" s="50"/>
      <c r="ISW377" s="50"/>
      <c r="ISX377" s="50"/>
      <c r="ISY377" s="50"/>
      <c r="ISZ377" s="50"/>
      <c r="ITA377" s="50"/>
      <c r="ITB377" s="50"/>
      <c r="ITC377" s="50"/>
      <c r="ITD377" s="50"/>
      <c r="ITE377" s="50"/>
      <c r="ITF377" s="50"/>
      <c r="ITG377" s="50"/>
      <c r="ITH377" s="50"/>
      <c r="ITI377" s="50"/>
      <c r="ITJ377" s="50"/>
      <c r="ITK377" s="50"/>
      <c r="ITL377" s="50"/>
      <c r="ITM377" s="50"/>
      <c r="ITN377" s="50"/>
      <c r="ITO377" s="50"/>
      <c r="ITP377" s="50"/>
      <c r="ITQ377" s="50"/>
      <c r="ITR377" s="50"/>
      <c r="ITS377" s="50"/>
      <c r="ITT377" s="50"/>
      <c r="ITU377" s="50"/>
      <c r="ITV377" s="50"/>
      <c r="ITW377" s="50"/>
      <c r="ITX377" s="50"/>
      <c r="ITY377" s="50"/>
      <c r="ITZ377" s="50"/>
      <c r="IUA377" s="50"/>
      <c r="IUB377" s="50"/>
      <c r="IUC377" s="50"/>
      <c r="IUD377" s="50"/>
      <c r="IUE377" s="50"/>
      <c r="IUF377" s="50"/>
      <c r="IUG377" s="50"/>
      <c r="IUH377" s="50"/>
      <c r="IUI377" s="50"/>
      <c r="IUJ377" s="50"/>
      <c r="IUK377" s="50"/>
      <c r="IUL377" s="50"/>
      <c r="IUM377" s="50"/>
      <c r="IUN377" s="50"/>
      <c r="IUO377" s="50"/>
      <c r="IUP377" s="50"/>
      <c r="IUQ377" s="50"/>
      <c r="IUR377" s="50"/>
      <c r="IUS377" s="50"/>
      <c r="IUT377" s="50"/>
      <c r="IUU377" s="50"/>
      <c r="IUV377" s="50"/>
      <c r="IUW377" s="50"/>
      <c r="IUX377" s="50"/>
      <c r="IUY377" s="50"/>
      <c r="IUZ377" s="50"/>
      <c r="IVA377" s="50"/>
      <c r="IVB377" s="50"/>
      <c r="IVC377" s="50"/>
      <c r="IVD377" s="50"/>
      <c r="IVE377" s="50"/>
      <c r="IVF377" s="50"/>
      <c r="IVG377" s="50"/>
      <c r="IVH377" s="50"/>
      <c r="IVI377" s="50"/>
      <c r="IVJ377" s="50"/>
      <c r="IVK377" s="50"/>
      <c r="IVL377" s="50"/>
      <c r="IVM377" s="50"/>
      <c r="IVN377" s="50"/>
      <c r="IVO377" s="50"/>
      <c r="IVP377" s="50"/>
      <c r="IVQ377" s="50"/>
      <c r="IVR377" s="50"/>
      <c r="IVS377" s="50"/>
      <c r="IVT377" s="50"/>
      <c r="IVU377" s="50"/>
      <c r="IVV377" s="50"/>
      <c r="IVW377" s="50"/>
      <c r="IVX377" s="50"/>
      <c r="IVY377" s="50"/>
      <c r="IVZ377" s="50"/>
      <c r="IWA377" s="50"/>
      <c r="IWB377" s="50"/>
      <c r="IWC377" s="50"/>
      <c r="IWD377" s="50"/>
      <c r="IWE377" s="50"/>
      <c r="IWF377" s="50"/>
      <c r="IWG377" s="50"/>
      <c r="IWH377" s="50"/>
      <c r="IWI377" s="50"/>
      <c r="IWJ377" s="50"/>
      <c r="IWK377" s="50"/>
      <c r="IWL377" s="50"/>
      <c r="IWM377" s="50"/>
      <c r="IWN377" s="50"/>
      <c r="IWO377" s="50"/>
      <c r="IWP377" s="50"/>
      <c r="IWQ377" s="50"/>
      <c r="IWR377" s="50"/>
      <c r="IWS377" s="50"/>
      <c r="IWT377" s="50"/>
      <c r="IWU377" s="50"/>
      <c r="IWV377" s="50"/>
      <c r="IWW377" s="50"/>
      <c r="IWX377" s="50"/>
      <c r="IWY377" s="50"/>
      <c r="IWZ377" s="50"/>
      <c r="IXA377" s="50"/>
      <c r="IXB377" s="50"/>
      <c r="IXC377" s="50"/>
      <c r="IXD377" s="50"/>
      <c r="IXE377" s="50"/>
      <c r="IXF377" s="50"/>
      <c r="IXG377" s="50"/>
      <c r="IXH377" s="50"/>
      <c r="IXI377" s="50"/>
      <c r="IXJ377" s="50"/>
      <c r="IXK377" s="50"/>
      <c r="IXL377" s="50"/>
      <c r="IXM377" s="50"/>
      <c r="IXN377" s="50"/>
      <c r="IXO377" s="50"/>
      <c r="IXP377" s="50"/>
      <c r="IXQ377" s="50"/>
      <c r="IXR377" s="50"/>
      <c r="IXS377" s="50"/>
      <c r="IXT377" s="50"/>
      <c r="IXU377" s="50"/>
      <c r="IXV377" s="50"/>
      <c r="IXW377" s="50"/>
      <c r="IXX377" s="50"/>
      <c r="IXY377" s="50"/>
      <c r="IXZ377" s="50"/>
      <c r="IYA377" s="50"/>
      <c r="IYB377" s="50"/>
      <c r="IYC377" s="50"/>
      <c r="IYD377" s="50"/>
      <c r="IYE377" s="50"/>
      <c r="IYF377" s="50"/>
      <c r="IYG377" s="50"/>
      <c r="IYH377" s="50"/>
      <c r="IYI377" s="50"/>
      <c r="IYJ377" s="50"/>
      <c r="IYK377" s="50"/>
      <c r="IYL377" s="50"/>
      <c r="IYM377" s="50"/>
      <c r="IYN377" s="50"/>
      <c r="IYO377" s="50"/>
      <c r="IYP377" s="50"/>
      <c r="IYQ377" s="50"/>
      <c r="IYR377" s="50"/>
      <c r="IYS377" s="50"/>
      <c r="IYT377" s="50"/>
      <c r="IYU377" s="50"/>
      <c r="IYV377" s="50"/>
      <c r="IYW377" s="50"/>
      <c r="IYX377" s="50"/>
      <c r="IYY377" s="50"/>
      <c r="IYZ377" s="50"/>
      <c r="IZA377" s="50"/>
      <c r="IZB377" s="50"/>
      <c r="IZC377" s="50"/>
      <c r="IZD377" s="50"/>
      <c r="IZE377" s="50"/>
      <c r="IZF377" s="50"/>
      <c r="IZG377" s="50"/>
      <c r="IZH377" s="50"/>
      <c r="IZI377" s="50"/>
      <c r="IZJ377" s="50"/>
      <c r="IZK377" s="50"/>
      <c r="IZL377" s="50"/>
      <c r="IZM377" s="50"/>
      <c r="IZN377" s="50"/>
      <c r="IZO377" s="50"/>
      <c r="IZP377" s="50"/>
      <c r="IZQ377" s="50"/>
      <c r="IZR377" s="50"/>
      <c r="IZS377" s="50"/>
      <c r="IZT377" s="50"/>
      <c r="IZU377" s="50"/>
      <c r="IZV377" s="50"/>
      <c r="IZW377" s="50"/>
      <c r="IZX377" s="50"/>
      <c r="IZY377" s="50"/>
      <c r="IZZ377" s="50"/>
      <c r="JAA377" s="50"/>
      <c r="JAB377" s="50"/>
      <c r="JAC377" s="50"/>
      <c r="JAD377" s="50"/>
      <c r="JAE377" s="50"/>
      <c r="JAF377" s="50"/>
      <c r="JAG377" s="50"/>
      <c r="JAH377" s="50"/>
      <c r="JAI377" s="50"/>
      <c r="JAJ377" s="50"/>
      <c r="JAK377" s="50"/>
      <c r="JAL377" s="50"/>
      <c r="JAM377" s="50"/>
      <c r="JAN377" s="50"/>
      <c r="JAO377" s="50"/>
      <c r="JAP377" s="50"/>
      <c r="JAQ377" s="50"/>
      <c r="JAR377" s="50"/>
      <c r="JAS377" s="50"/>
      <c r="JAT377" s="50"/>
      <c r="JAU377" s="50"/>
      <c r="JAV377" s="50"/>
      <c r="JAW377" s="50"/>
      <c r="JAX377" s="50"/>
      <c r="JAY377" s="50"/>
      <c r="JAZ377" s="50"/>
      <c r="JBA377" s="50"/>
      <c r="JBB377" s="50"/>
      <c r="JBC377" s="50"/>
      <c r="JBD377" s="50"/>
      <c r="JBE377" s="50"/>
      <c r="JBF377" s="50"/>
      <c r="JBG377" s="50"/>
      <c r="JBH377" s="50"/>
      <c r="JBI377" s="50"/>
      <c r="JBJ377" s="50"/>
      <c r="JBK377" s="50"/>
      <c r="JBL377" s="50"/>
      <c r="JBM377" s="50"/>
      <c r="JBN377" s="50"/>
      <c r="JBO377" s="50"/>
      <c r="JBP377" s="50"/>
      <c r="JBQ377" s="50"/>
      <c r="JBR377" s="50"/>
      <c r="JBS377" s="50"/>
      <c r="JBT377" s="50"/>
      <c r="JBU377" s="50"/>
      <c r="JBV377" s="50"/>
      <c r="JBW377" s="50"/>
      <c r="JBX377" s="50"/>
      <c r="JBY377" s="50"/>
      <c r="JBZ377" s="50"/>
      <c r="JCA377" s="50"/>
      <c r="JCB377" s="50"/>
      <c r="JCC377" s="50"/>
      <c r="JCD377" s="50"/>
      <c r="JCE377" s="50"/>
      <c r="JCF377" s="50"/>
      <c r="JCG377" s="50"/>
      <c r="JCH377" s="50"/>
      <c r="JCI377" s="50"/>
      <c r="JCJ377" s="50"/>
      <c r="JCK377" s="50"/>
      <c r="JCL377" s="50"/>
      <c r="JCM377" s="50"/>
      <c r="JCN377" s="50"/>
      <c r="JCO377" s="50"/>
      <c r="JCP377" s="50"/>
      <c r="JCQ377" s="50"/>
      <c r="JCR377" s="50"/>
      <c r="JCS377" s="50"/>
      <c r="JCT377" s="50"/>
      <c r="JCU377" s="50"/>
      <c r="JCV377" s="50"/>
      <c r="JCW377" s="50"/>
      <c r="JCX377" s="50"/>
      <c r="JCY377" s="50"/>
      <c r="JCZ377" s="50"/>
      <c r="JDA377" s="50"/>
      <c r="JDB377" s="50"/>
      <c r="JDC377" s="50"/>
      <c r="JDD377" s="50"/>
      <c r="JDE377" s="50"/>
      <c r="JDF377" s="50"/>
      <c r="JDG377" s="50"/>
      <c r="JDH377" s="50"/>
      <c r="JDI377" s="50"/>
      <c r="JDJ377" s="50"/>
      <c r="JDK377" s="50"/>
      <c r="JDL377" s="50"/>
      <c r="JDM377" s="50"/>
      <c r="JDN377" s="50"/>
      <c r="JDO377" s="50"/>
      <c r="JDP377" s="50"/>
      <c r="JDQ377" s="50"/>
      <c r="JDR377" s="50"/>
      <c r="JDS377" s="50"/>
      <c r="JDT377" s="50"/>
      <c r="JDU377" s="50"/>
      <c r="JDV377" s="50"/>
      <c r="JDW377" s="50"/>
      <c r="JDX377" s="50"/>
      <c r="JDY377" s="50"/>
      <c r="JDZ377" s="50"/>
      <c r="JEA377" s="50"/>
      <c r="JEB377" s="50"/>
      <c r="JEC377" s="50"/>
      <c r="JED377" s="50"/>
      <c r="JEE377" s="50"/>
      <c r="JEF377" s="50"/>
      <c r="JEG377" s="50"/>
      <c r="JEH377" s="50"/>
      <c r="JEI377" s="50"/>
      <c r="JEJ377" s="50"/>
      <c r="JEK377" s="50"/>
      <c r="JEL377" s="50"/>
      <c r="JEM377" s="50"/>
      <c r="JEN377" s="50"/>
      <c r="JEO377" s="50"/>
      <c r="JEP377" s="50"/>
      <c r="JEQ377" s="50"/>
      <c r="JER377" s="50"/>
      <c r="JES377" s="50"/>
      <c r="JET377" s="50"/>
      <c r="JEU377" s="50"/>
      <c r="JEV377" s="50"/>
      <c r="JEW377" s="50"/>
      <c r="JEX377" s="50"/>
      <c r="JEY377" s="50"/>
      <c r="JEZ377" s="50"/>
      <c r="JFA377" s="50"/>
      <c r="JFB377" s="50"/>
      <c r="JFC377" s="50"/>
      <c r="JFD377" s="50"/>
      <c r="JFE377" s="50"/>
      <c r="JFF377" s="50"/>
      <c r="JFG377" s="50"/>
      <c r="JFH377" s="50"/>
      <c r="JFI377" s="50"/>
      <c r="JFJ377" s="50"/>
      <c r="JFK377" s="50"/>
      <c r="JFL377" s="50"/>
      <c r="JFM377" s="50"/>
      <c r="JFN377" s="50"/>
      <c r="JFO377" s="50"/>
      <c r="JFP377" s="50"/>
      <c r="JFQ377" s="50"/>
      <c r="JFR377" s="50"/>
      <c r="JFS377" s="50"/>
      <c r="JFT377" s="50"/>
      <c r="JFU377" s="50"/>
      <c r="JFV377" s="50"/>
      <c r="JFW377" s="50"/>
      <c r="JFX377" s="50"/>
      <c r="JFY377" s="50"/>
      <c r="JFZ377" s="50"/>
      <c r="JGA377" s="50"/>
      <c r="JGB377" s="50"/>
      <c r="JGC377" s="50"/>
      <c r="JGD377" s="50"/>
      <c r="JGE377" s="50"/>
      <c r="JGF377" s="50"/>
      <c r="JGG377" s="50"/>
      <c r="JGH377" s="50"/>
      <c r="JGI377" s="50"/>
      <c r="JGJ377" s="50"/>
      <c r="JGK377" s="50"/>
      <c r="JGL377" s="50"/>
      <c r="JGM377" s="50"/>
      <c r="JGN377" s="50"/>
      <c r="JGO377" s="50"/>
      <c r="JGP377" s="50"/>
      <c r="JGQ377" s="50"/>
      <c r="JGR377" s="50"/>
      <c r="JGS377" s="50"/>
      <c r="JGT377" s="50"/>
      <c r="JGU377" s="50"/>
      <c r="JGV377" s="50"/>
      <c r="JGW377" s="50"/>
      <c r="JGX377" s="50"/>
      <c r="JGY377" s="50"/>
      <c r="JGZ377" s="50"/>
      <c r="JHA377" s="50"/>
      <c r="JHB377" s="50"/>
      <c r="JHC377" s="50"/>
      <c r="JHD377" s="50"/>
      <c r="JHE377" s="50"/>
      <c r="JHF377" s="50"/>
      <c r="JHG377" s="50"/>
      <c r="JHH377" s="50"/>
      <c r="JHI377" s="50"/>
      <c r="JHJ377" s="50"/>
      <c r="JHK377" s="50"/>
      <c r="JHL377" s="50"/>
      <c r="JHM377" s="50"/>
      <c r="JHN377" s="50"/>
      <c r="JHO377" s="50"/>
      <c r="JHP377" s="50"/>
      <c r="JHQ377" s="50"/>
      <c r="JHR377" s="50"/>
      <c r="JHS377" s="50"/>
      <c r="JHT377" s="50"/>
      <c r="JHU377" s="50"/>
      <c r="JHV377" s="50"/>
      <c r="JHW377" s="50"/>
      <c r="JHX377" s="50"/>
      <c r="JHY377" s="50"/>
      <c r="JHZ377" s="50"/>
      <c r="JIA377" s="50"/>
      <c r="JIB377" s="50"/>
      <c r="JIC377" s="50"/>
      <c r="JID377" s="50"/>
      <c r="JIE377" s="50"/>
      <c r="JIF377" s="50"/>
      <c r="JIG377" s="50"/>
      <c r="JIH377" s="50"/>
      <c r="JII377" s="50"/>
      <c r="JIJ377" s="50"/>
      <c r="JIK377" s="50"/>
      <c r="JIL377" s="50"/>
      <c r="JIM377" s="50"/>
      <c r="JIN377" s="50"/>
      <c r="JIO377" s="50"/>
      <c r="JIP377" s="50"/>
      <c r="JIQ377" s="50"/>
      <c r="JIR377" s="50"/>
      <c r="JIS377" s="50"/>
      <c r="JIT377" s="50"/>
      <c r="JIU377" s="50"/>
      <c r="JIV377" s="50"/>
      <c r="JIW377" s="50"/>
      <c r="JIX377" s="50"/>
      <c r="JIY377" s="50"/>
      <c r="JIZ377" s="50"/>
      <c r="JJA377" s="50"/>
      <c r="JJB377" s="50"/>
      <c r="JJC377" s="50"/>
      <c r="JJD377" s="50"/>
      <c r="JJE377" s="50"/>
      <c r="JJF377" s="50"/>
      <c r="JJG377" s="50"/>
      <c r="JJH377" s="50"/>
      <c r="JJI377" s="50"/>
      <c r="JJJ377" s="50"/>
      <c r="JJK377" s="50"/>
      <c r="JJL377" s="50"/>
      <c r="JJM377" s="50"/>
      <c r="JJN377" s="50"/>
      <c r="JJO377" s="50"/>
      <c r="JJP377" s="50"/>
      <c r="JJQ377" s="50"/>
      <c r="JJR377" s="50"/>
      <c r="JJS377" s="50"/>
      <c r="JJT377" s="50"/>
      <c r="JJU377" s="50"/>
      <c r="JJV377" s="50"/>
      <c r="JJW377" s="50"/>
      <c r="JJX377" s="50"/>
      <c r="JJY377" s="50"/>
      <c r="JJZ377" s="50"/>
      <c r="JKA377" s="50"/>
      <c r="JKB377" s="50"/>
      <c r="JKC377" s="50"/>
      <c r="JKD377" s="50"/>
      <c r="JKE377" s="50"/>
      <c r="JKF377" s="50"/>
      <c r="JKG377" s="50"/>
      <c r="JKH377" s="50"/>
      <c r="JKI377" s="50"/>
      <c r="JKJ377" s="50"/>
      <c r="JKK377" s="50"/>
      <c r="JKL377" s="50"/>
      <c r="JKM377" s="50"/>
      <c r="JKN377" s="50"/>
      <c r="JKO377" s="50"/>
      <c r="JKP377" s="50"/>
      <c r="JKQ377" s="50"/>
      <c r="JKR377" s="50"/>
      <c r="JKS377" s="50"/>
      <c r="JKT377" s="50"/>
      <c r="JKU377" s="50"/>
      <c r="JKV377" s="50"/>
      <c r="JKW377" s="50"/>
      <c r="JKX377" s="50"/>
      <c r="JKY377" s="50"/>
      <c r="JKZ377" s="50"/>
      <c r="JLA377" s="50"/>
      <c r="JLB377" s="50"/>
      <c r="JLC377" s="50"/>
      <c r="JLD377" s="50"/>
      <c r="JLE377" s="50"/>
      <c r="JLF377" s="50"/>
      <c r="JLG377" s="50"/>
      <c r="JLH377" s="50"/>
      <c r="JLI377" s="50"/>
      <c r="JLJ377" s="50"/>
      <c r="JLK377" s="50"/>
      <c r="JLL377" s="50"/>
      <c r="JLM377" s="50"/>
      <c r="JLN377" s="50"/>
      <c r="JLO377" s="50"/>
      <c r="JLP377" s="50"/>
      <c r="JLQ377" s="50"/>
      <c r="JLR377" s="50"/>
      <c r="JLS377" s="50"/>
      <c r="JLT377" s="50"/>
      <c r="JLU377" s="50"/>
      <c r="JLV377" s="50"/>
      <c r="JLW377" s="50"/>
      <c r="JLX377" s="50"/>
      <c r="JLY377" s="50"/>
      <c r="JLZ377" s="50"/>
      <c r="JMA377" s="50"/>
      <c r="JMB377" s="50"/>
      <c r="JMC377" s="50"/>
      <c r="JMD377" s="50"/>
      <c r="JME377" s="50"/>
      <c r="JMF377" s="50"/>
      <c r="JMG377" s="50"/>
      <c r="JMH377" s="50"/>
      <c r="JMI377" s="50"/>
      <c r="JMJ377" s="50"/>
      <c r="JMK377" s="50"/>
      <c r="JML377" s="50"/>
      <c r="JMM377" s="50"/>
      <c r="JMN377" s="50"/>
      <c r="JMO377" s="50"/>
      <c r="JMP377" s="50"/>
      <c r="JMQ377" s="50"/>
      <c r="JMR377" s="50"/>
      <c r="JMS377" s="50"/>
      <c r="JMT377" s="50"/>
      <c r="JMU377" s="50"/>
      <c r="JMV377" s="50"/>
      <c r="JMW377" s="50"/>
      <c r="JMX377" s="50"/>
      <c r="JMY377" s="50"/>
      <c r="JMZ377" s="50"/>
      <c r="JNA377" s="50"/>
      <c r="JNB377" s="50"/>
      <c r="JNC377" s="50"/>
      <c r="JND377" s="50"/>
      <c r="JNE377" s="50"/>
      <c r="JNF377" s="50"/>
      <c r="JNG377" s="50"/>
      <c r="JNH377" s="50"/>
      <c r="JNI377" s="50"/>
      <c r="JNJ377" s="50"/>
      <c r="JNK377" s="50"/>
      <c r="JNL377" s="50"/>
      <c r="JNM377" s="50"/>
      <c r="JNN377" s="50"/>
      <c r="JNO377" s="50"/>
      <c r="JNP377" s="50"/>
      <c r="JNQ377" s="50"/>
      <c r="JNR377" s="50"/>
      <c r="JNS377" s="50"/>
      <c r="JNT377" s="50"/>
      <c r="JNU377" s="50"/>
      <c r="JNV377" s="50"/>
      <c r="JNW377" s="50"/>
      <c r="JNX377" s="50"/>
      <c r="JNY377" s="50"/>
      <c r="JNZ377" s="50"/>
      <c r="JOA377" s="50"/>
      <c r="JOB377" s="50"/>
      <c r="JOC377" s="50"/>
      <c r="JOD377" s="50"/>
      <c r="JOE377" s="50"/>
      <c r="JOF377" s="50"/>
      <c r="JOG377" s="50"/>
      <c r="JOH377" s="50"/>
      <c r="JOI377" s="50"/>
      <c r="JOJ377" s="50"/>
      <c r="JOK377" s="50"/>
      <c r="JOL377" s="50"/>
      <c r="JOM377" s="50"/>
      <c r="JON377" s="50"/>
      <c r="JOO377" s="50"/>
      <c r="JOP377" s="50"/>
      <c r="JOQ377" s="50"/>
      <c r="JOR377" s="50"/>
      <c r="JOS377" s="50"/>
      <c r="JOT377" s="50"/>
      <c r="JOU377" s="50"/>
      <c r="JOV377" s="50"/>
      <c r="JOW377" s="50"/>
      <c r="JOX377" s="50"/>
      <c r="JOY377" s="50"/>
      <c r="JOZ377" s="50"/>
      <c r="JPA377" s="50"/>
      <c r="JPB377" s="50"/>
      <c r="JPC377" s="50"/>
      <c r="JPD377" s="50"/>
      <c r="JPE377" s="50"/>
      <c r="JPF377" s="50"/>
      <c r="JPG377" s="50"/>
      <c r="JPH377" s="50"/>
      <c r="JPI377" s="50"/>
      <c r="JPJ377" s="50"/>
      <c r="JPK377" s="50"/>
      <c r="JPL377" s="50"/>
      <c r="JPM377" s="50"/>
      <c r="JPN377" s="50"/>
      <c r="JPO377" s="50"/>
      <c r="JPP377" s="50"/>
      <c r="JPQ377" s="50"/>
      <c r="JPR377" s="50"/>
      <c r="JPS377" s="50"/>
      <c r="JPT377" s="50"/>
      <c r="JPU377" s="50"/>
      <c r="JPV377" s="50"/>
      <c r="JPW377" s="50"/>
      <c r="JPX377" s="50"/>
      <c r="JPY377" s="50"/>
      <c r="JPZ377" s="50"/>
      <c r="JQA377" s="50"/>
      <c r="JQB377" s="50"/>
      <c r="JQC377" s="50"/>
      <c r="JQD377" s="50"/>
      <c r="JQE377" s="50"/>
      <c r="JQF377" s="50"/>
      <c r="JQG377" s="50"/>
      <c r="JQH377" s="50"/>
      <c r="JQI377" s="50"/>
      <c r="JQJ377" s="50"/>
      <c r="JQK377" s="50"/>
      <c r="JQL377" s="50"/>
      <c r="JQM377" s="50"/>
      <c r="JQN377" s="50"/>
      <c r="JQO377" s="50"/>
      <c r="JQP377" s="50"/>
      <c r="JQQ377" s="50"/>
      <c r="JQR377" s="50"/>
      <c r="JQS377" s="50"/>
      <c r="JQT377" s="50"/>
      <c r="JQU377" s="50"/>
      <c r="JQV377" s="50"/>
      <c r="JQW377" s="50"/>
      <c r="JQX377" s="50"/>
      <c r="JQY377" s="50"/>
      <c r="JQZ377" s="50"/>
      <c r="JRA377" s="50"/>
      <c r="JRB377" s="50"/>
      <c r="JRC377" s="50"/>
      <c r="JRD377" s="50"/>
      <c r="JRE377" s="50"/>
      <c r="JRF377" s="50"/>
      <c r="JRG377" s="50"/>
      <c r="JRH377" s="50"/>
      <c r="JRI377" s="50"/>
      <c r="JRJ377" s="50"/>
      <c r="JRK377" s="50"/>
      <c r="JRL377" s="50"/>
      <c r="JRM377" s="50"/>
      <c r="JRN377" s="50"/>
      <c r="JRO377" s="50"/>
      <c r="JRP377" s="50"/>
      <c r="JRQ377" s="50"/>
      <c r="JRR377" s="50"/>
      <c r="JRS377" s="50"/>
      <c r="JRT377" s="50"/>
      <c r="JRU377" s="50"/>
      <c r="JRV377" s="50"/>
      <c r="JRW377" s="50"/>
      <c r="JRX377" s="50"/>
      <c r="JRY377" s="50"/>
      <c r="JRZ377" s="50"/>
      <c r="JSA377" s="50"/>
      <c r="JSB377" s="50"/>
      <c r="JSC377" s="50"/>
      <c r="JSD377" s="50"/>
      <c r="JSE377" s="50"/>
      <c r="JSF377" s="50"/>
      <c r="JSG377" s="50"/>
      <c r="JSH377" s="50"/>
      <c r="JSI377" s="50"/>
      <c r="JSJ377" s="50"/>
      <c r="JSK377" s="50"/>
      <c r="JSL377" s="50"/>
      <c r="JSM377" s="50"/>
      <c r="JSN377" s="50"/>
      <c r="JSO377" s="50"/>
      <c r="JSP377" s="50"/>
      <c r="JSQ377" s="50"/>
      <c r="JSR377" s="50"/>
      <c r="JSS377" s="50"/>
      <c r="JST377" s="50"/>
      <c r="JSU377" s="50"/>
      <c r="JSV377" s="50"/>
      <c r="JSW377" s="50"/>
      <c r="JSX377" s="50"/>
      <c r="JSY377" s="50"/>
      <c r="JSZ377" s="50"/>
      <c r="JTA377" s="50"/>
      <c r="JTB377" s="50"/>
      <c r="JTC377" s="50"/>
      <c r="JTD377" s="50"/>
      <c r="JTE377" s="50"/>
      <c r="JTF377" s="50"/>
      <c r="JTG377" s="50"/>
      <c r="JTH377" s="50"/>
      <c r="JTI377" s="50"/>
      <c r="JTJ377" s="50"/>
      <c r="JTK377" s="50"/>
      <c r="JTL377" s="50"/>
      <c r="JTM377" s="50"/>
      <c r="JTN377" s="50"/>
      <c r="JTO377" s="50"/>
      <c r="JTP377" s="50"/>
      <c r="JTQ377" s="50"/>
      <c r="JTR377" s="50"/>
      <c r="JTS377" s="50"/>
      <c r="JTT377" s="50"/>
      <c r="JTU377" s="50"/>
      <c r="JTV377" s="50"/>
      <c r="JTW377" s="50"/>
      <c r="JTX377" s="50"/>
      <c r="JTY377" s="50"/>
      <c r="JTZ377" s="50"/>
      <c r="JUA377" s="50"/>
      <c r="JUB377" s="50"/>
      <c r="JUC377" s="50"/>
      <c r="JUD377" s="50"/>
      <c r="JUE377" s="50"/>
      <c r="JUF377" s="50"/>
      <c r="JUG377" s="50"/>
      <c r="JUH377" s="50"/>
      <c r="JUI377" s="50"/>
      <c r="JUJ377" s="50"/>
      <c r="JUK377" s="50"/>
      <c r="JUL377" s="50"/>
      <c r="JUM377" s="50"/>
      <c r="JUN377" s="50"/>
      <c r="JUO377" s="50"/>
      <c r="JUP377" s="50"/>
      <c r="JUQ377" s="50"/>
      <c r="JUR377" s="50"/>
      <c r="JUS377" s="50"/>
      <c r="JUT377" s="50"/>
      <c r="JUU377" s="50"/>
      <c r="JUV377" s="50"/>
      <c r="JUW377" s="50"/>
      <c r="JUX377" s="50"/>
      <c r="JUY377" s="50"/>
      <c r="JUZ377" s="50"/>
      <c r="JVA377" s="50"/>
      <c r="JVB377" s="50"/>
      <c r="JVC377" s="50"/>
      <c r="JVD377" s="50"/>
      <c r="JVE377" s="50"/>
      <c r="JVF377" s="50"/>
      <c r="JVG377" s="50"/>
      <c r="JVH377" s="50"/>
      <c r="JVI377" s="50"/>
      <c r="JVJ377" s="50"/>
      <c r="JVK377" s="50"/>
      <c r="JVL377" s="50"/>
      <c r="JVM377" s="50"/>
      <c r="JVN377" s="50"/>
      <c r="JVO377" s="50"/>
      <c r="JVP377" s="50"/>
      <c r="JVQ377" s="50"/>
      <c r="JVR377" s="50"/>
      <c r="JVS377" s="50"/>
      <c r="JVT377" s="50"/>
      <c r="JVU377" s="50"/>
      <c r="JVV377" s="50"/>
      <c r="JVW377" s="50"/>
      <c r="JVX377" s="50"/>
      <c r="JVY377" s="50"/>
      <c r="JVZ377" s="50"/>
      <c r="JWA377" s="50"/>
      <c r="JWB377" s="50"/>
      <c r="JWC377" s="50"/>
      <c r="JWD377" s="50"/>
      <c r="JWE377" s="50"/>
      <c r="JWF377" s="50"/>
      <c r="JWG377" s="50"/>
      <c r="JWH377" s="50"/>
      <c r="JWI377" s="50"/>
      <c r="JWJ377" s="50"/>
      <c r="JWK377" s="50"/>
      <c r="JWL377" s="50"/>
      <c r="JWM377" s="50"/>
      <c r="JWN377" s="50"/>
      <c r="JWO377" s="50"/>
      <c r="JWP377" s="50"/>
      <c r="JWQ377" s="50"/>
      <c r="JWR377" s="50"/>
      <c r="JWS377" s="50"/>
      <c r="JWT377" s="50"/>
      <c r="JWU377" s="50"/>
      <c r="JWV377" s="50"/>
      <c r="JWW377" s="50"/>
      <c r="JWX377" s="50"/>
      <c r="JWY377" s="50"/>
      <c r="JWZ377" s="50"/>
      <c r="JXA377" s="50"/>
      <c r="JXB377" s="50"/>
      <c r="JXC377" s="50"/>
      <c r="JXD377" s="50"/>
      <c r="JXE377" s="50"/>
      <c r="JXF377" s="50"/>
      <c r="JXG377" s="50"/>
      <c r="JXH377" s="50"/>
      <c r="JXI377" s="50"/>
      <c r="JXJ377" s="50"/>
      <c r="JXK377" s="50"/>
      <c r="JXL377" s="50"/>
      <c r="JXM377" s="50"/>
      <c r="JXN377" s="50"/>
      <c r="JXO377" s="50"/>
      <c r="JXP377" s="50"/>
      <c r="JXQ377" s="50"/>
      <c r="JXR377" s="50"/>
      <c r="JXS377" s="50"/>
      <c r="JXT377" s="50"/>
      <c r="JXU377" s="50"/>
      <c r="JXV377" s="50"/>
      <c r="JXW377" s="50"/>
      <c r="JXX377" s="50"/>
      <c r="JXY377" s="50"/>
      <c r="JXZ377" s="50"/>
      <c r="JYA377" s="50"/>
      <c r="JYB377" s="50"/>
      <c r="JYC377" s="50"/>
      <c r="JYD377" s="50"/>
      <c r="JYE377" s="50"/>
      <c r="JYF377" s="50"/>
      <c r="JYG377" s="50"/>
      <c r="JYH377" s="50"/>
      <c r="JYI377" s="50"/>
      <c r="JYJ377" s="50"/>
      <c r="JYK377" s="50"/>
      <c r="JYL377" s="50"/>
      <c r="JYM377" s="50"/>
      <c r="JYN377" s="50"/>
      <c r="JYO377" s="50"/>
      <c r="JYP377" s="50"/>
      <c r="JYQ377" s="50"/>
      <c r="JYR377" s="50"/>
      <c r="JYS377" s="50"/>
      <c r="JYT377" s="50"/>
      <c r="JYU377" s="50"/>
      <c r="JYV377" s="50"/>
      <c r="JYW377" s="50"/>
      <c r="JYX377" s="50"/>
      <c r="JYY377" s="50"/>
      <c r="JYZ377" s="50"/>
      <c r="JZA377" s="50"/>
      <c r="JZB377" s="50"/>
      <c r="JZC377" s="50"/>
      <c r="JZD377" s="50"/>
      <c r="JZE377" s="50"/>
      <c r="JZF377" s="50"/>
      <c r="JZG377" s="50"/>
      <c r="JZH377" s="50"/>
      <c r="JZI377" s="50"/>
      <c r="JZJ377" s="50"/>
      <c r="JZK377" s="50"/>
      <c r="JZL377" s="50"/>
      <c r="JZM377" s="50"/>
      <c r="JZN377" s="50"/>
      <c r="JZO377" s="50"/>
      <c r="JZP377" s="50"/>
      <c r="JZQ377" s="50"/>
      <c r="JZR377" s="50"/>
      <c r="JZS377" s="50"/>
      <c r="JZT377" s="50"/>
      <c r="JZU377" s="50"/>
      <c r="JZV377" s="50"/>
      <c r="JZW377" s="50"/>
      <c r="JZX377" s="50"/>
      <c r="JZY377" s="50"/>
      <c r="JZZ377" s="50"/>
      <c r="KAA377" s="50"/>
      <c r="KAB377" s="50"/>
      <c r="KAC377" s="50"/>
      <c r="KAD377" s="50"/>
      <c r="KAE377" s="50"/>
      <c r="KAF377" s="50"/>
      <c r="KAG377" s="50"/>
      <c r="KAH377" s="50"/>
      <c r="KAI377" s="50"/>
      <c r="KAJ377" s="50"/>
      <c r="KAK377" s="50"/>
      <c r="KAL377" s="50"/>
      <c r="KAM377" s="50"/>
      <c r="KAN377" s="50"/>
      <c r="KAO377" s="50"/>
      <c r="KAP377" s="50"/>
      <c r="KAQ377" s="50"/>
      <c r="KAR377" s="50"/>
      <c r="KAS377" s="50"/>
      <c r="KAT377" s="50"/>
      <c r="KAU377" s="50"/>
      <c r="KAV377" s="50"/>
      <c r="KAW377" s="50"/>
      <c r="KAX377" s="50"/>
      <c r="KAY377" s="50"/>
      <c r="KAZ377" s="50"/>
      <c r="KBA377" s="50"/>
      <c r="KBB377" s="50"/>
      <c r="KBC377" s="50"/>
      <c r="KBD377" s="50"/>
      <c r="KBE377" s="50"/>
      <c r="KBF377" s="50"/>
      <c r="KBG377" s="50"/>
      <c r="KBH377" s="50"/>
      <c r="KBI377" s="50"/>
      <c r="KBJ377" s="50"/>
      <c r="KBK377" s="50"/>
      <c r="KBL377" s="50"/>
      <c r="KBM377" s="50"/>
      <c r="KBN377" s="50"/>
      <c r="KBO377" s="50"/>
      <c r="KBP377" s="50"/>
      <c r="KBQ377" s="50"/>
      <c r="KBR377" s="50"/>
      <c r="KBS377" s="50"/>
      <c r="KBT377" s="50"/>
      <c r="KBU377" s="50"/>
      <c r="KBV377" s="50"/>
      <c r="KBW377" s="50"/>
      <c r="KBX377" s="50"/>
      <c r="KBY377" s="50"/>
      <c r="KBZ377" s="50"/>
      <c r="KCA377" s="50"/>
      <c r="KCB377" s="50"/>
      <c r="KCC377" s="50"/>
      <c r="KCD377" s="50"/>
      <c r="KCE377" s="50"/>
      <c r="KCF377" s="50"/>
      <c r="KCG377" s="50"/>
      <c r="KCH377" s="50"/>
      <c r="KCI377" s="50"/>
      <c r="KCJ377" s="50"/>
      <c r="KCK377" s="50"/>
      <c r="KCL377" s="50"/>
      <c r="KCM377" s="50"/>
      <c r="KCN377" s="50"/>
      <c r="KCO377" s="50"/>
      <c r="KCP377" s="50"/>
      <c r="KCQ377" s="50"/>
      <c r="KCR377" s="50"/>
      <c r="KCS377" s="50"/>
      <c r="KCT377" s="50"/>
      <c r="KCU377" s="50"/>
      <c r="KCV377" s="50"/>
      <c r="KCW377" s="50"/>
      <c r="KCX377" s="50"/>
      <c r="KCY377" s="50"/>
      <c r="KCZ377" s="50"/>
      <c r="KDA377" s="50"/>
      <c r="KDB377" s="50"/>
      <c r="KDC377" s="50"/>
      <c r="KDD377" s="50"/>
      <c r="KDE377" s="50"/>
      <c r="KDF377" s="50"/>
      <c r="KDG377" s="50"/>
      <c r="KDH377" s="50"/>
      <c r="KDI377" s="50"/>
      <c r="KDJ377" s="50"/>
      <c r="KDK377" s="50"/>
      <c r="KDL377" s="50"/>
      <c r="KDM377" s="50"/>
      <c r="KDN377" s="50"/>
      <c r="KDO377" s="50"/>
      <c r="KDP377" s="50"/>
      <c r="KDQ377" s="50"/>
      <c r="KDR377" s="50"/>
      <c r="KDS377" s="50"/>
      <c r="KDT377" s="50"/>
      <c r="KDU377" s="50"/>
      <c r="KDV377" s="50"/>
      <c r="KDW377" s="50"/>
      <c r="KDX377" s="50"/>
      <c r="KDY377" s="50"/>
      <c r="KDZ377" s="50"/>
      <c r="KEA377" s="50"/>
      <c r="KEB377" s="50"/>
      <c r="KEC377" s="50"/>
      <c r="KED377" s="50"/>
      <c r="KEE377" s="50"/>
      <c r="KEF377" s="50"/>
      <c r="KEG377" s="50"/>
      <c r="KEH377" s="50"/>
      <c r="KEI377" s="50"/>
      <c r="KEJ377" s="50"/>
      <c r="KEK377" s="50"/>
      <c r="KEL377" s="50"/>
      <c r="KEM377" s="50"/>
      <c r="KEN377" s="50"/>
      <c r="KEO377" s="50"/>
      <c r="KEP377" s="50"/>
      <c r="KEQ377" s="50"/>
      <c r="KER377" s="50"/>
      <c r="KES377" s="50"/>
      <c r="KET377" s="50"/>
      <c r="KEU377" s="50"/>
      <c r="KEV377" s="50"/>
      <c r="KEW377" s="50"/>
      <c r="KEX377" s="50"/>
      <c r="KEY377" s="50"/>
      <c r="KEZ377" s="50"/>
      <c r="KFA377" s="50"/>
      <c r="KFB377" s="50"/>
      <c r="KFC377" s="50"/>
      <c r="KFD377" s="50"/>
      <c r="KFE377" s="50"/>
      <c r="KFF377" s="50"/>
      <c r="KFG377" s="50"/>
      <c r="KFH377" s="50"/>
      <c r="KFI377" s="50"/>
      <c r="KFJ377" s="50"/>
      <c r="KFK377" s="50"/>
      <c r="KFL377" s="50"/>
      <c r="KFM377" s="50"/>
      <c r="KFN377" s="50"/>
      <c r="KFO377" s="50"/>
      <c r="KFP377" s="50"/>
      <c r="KFQ377" s="50"/>
      <c r="KFR377" s="50"/>
      <c r="KFS377" s="50"/>
      <c r="KFT377" s="50"/>
      <c r="KFU377" s="50"/>
      <c r="KFV377" s="50"/>
      <c r="KFW377" s="50"/>
      <c r="KFX377" s="50"/>
      <c r="KFY377" s="50"/>
      <c r="KFZ377" s="50"/>
      <c r="KGA377" s="50"/>
      <c r="KGB377" s="50"/>
      <c r="KGC377" s="50"/>
      <c r="KGD377" s="50"/>
      <c r="KGE377" s="50"/>
      <c r="KGF377" s="50"/>
      <c r="KGG377" s="50"/>
      <c r="KGH377" s="50"/>
      <c r="KGI377" s="50"/>
      <c r="KGJ377" s="50"/>
      <c r="KGK377" s="50"/>
      <c r="KGL377" s="50"/>
      <c r="KGM377" s="50"/>
      <c r="KGN377" s="50"/>
      <c r="KGO377" s="50"/>
      <c r="KGP377" s="50"/>
      <c r="KGQ377" s="50"/>
      <c r="KGR377" s="50"/>
      <c r="KGS377" s="50"/>
      <c r="KGT377" s="50"/>
      <c r="KGU377" s="50"/>
      <c r="KGV377" s="50"/>
      <c r="KGW377" s="50"/>
      <c r="KGX377" s="50"/>
      <c r="KGY377" s="50"/>
      <c r="KGZ377" s="50"/>
      <c r="KHA377" s="50"/>
      <c r="KHB377" s="50"/>
      <c r="KHC377" s="50"/>
      <c r="KHD377" s="50"/>
      <c r="KHE377" s="50"/>
      <c r="KHF377" s="50"/>
      <c r="KHG377" s="50"/>
      <c r="KHH377" s="50"/>
      <c r="KHI377" s="50"/>
      <c r="KHJ377" s="50"/>
      <c r="KHK377" s="50"/>
      <c r="KHL377" s="50"/>
      <c r="KHM377" s="50"/>
      <c r="KHN377" s="50"/>
      <c r="KHO377" s="50"/>
      <c r="KHP377" s="50"/>
      <c r="KHQ377" s="50"/>
      <c r="KHR377" s="50"/>
      <c r="KHS377" s="50"/>
      <c r="KHT377" s="50"/>
      <c r="KHU377" s="50"/>
      <c r="KHV377" s="50"/>
      <c r="KHW377" s="50"/>
      <c r="KHX377" s="50"/>
      <c r="KHY377" s="50"/>
      <c r="KHZ377" s="50"/>
      <c r="KIA377" s="50"/>
      <c r="KIB377" s="50"/>
      <c r="KIC377" s="50"/>
      <c r="KID377" s="50"/>
      <c r="KIE377" s="50"/>
      <c r="KIF377" s="50"/>
      <c r="KIG377" s="50"/>
      <c r="KIH377" s="50"/>
      <c r="KII377" s="50"/>
      <c r="KIJ377" s="50"/>
      <c r="KIK377" s="50"/>
      <c r="KIL377" s="50"/>
      <c r="KIM377" s="50"/>
      <c r="KIN377" s="50"/>
      <c r="KIO377" s="50"/>
      <c r="KIP377" s="50"/>
      <c r="KIQ377" s="50"/>
      <c r="KIR377" s="50"/>
      <c r="KIS377" s="50"/>
      <c r="KIT377" s="50"/>
      <c r="KIU377" s="50"/>
      <c r="KIV377" s="50"/>
      <c r="KIW377" s="50"/>
      <c r="KIX377" s="50"/>
      <c r="KIY377" s="50"/>
      <c r="KIZ377" s="50"/>
      <c r="KJA377" s="50"/>
      <c r="KJB377" s="50"/>
      <c r="KJC377" s="50"/>
      <c r="KJD377" s="50"/>
      <c r="KJE377" s="50"/>
      <c r="KJF377" s="50"/>
      <c r="KJG377" s="50"/>
      <c r="KJH377" s="50"/>
      <c r="KJI377" s="50"/>
      <c r="KJJ377" s="50"/>
      <c r="KJK377" s="50"/>
      <c r="KJL377" s="50"/>
      <c r="KJM377" s="50"/>
      <c r="KJN377" s="50"/>
      <c r="KJO377" s="50"/>
      <c r="KJP377" s="50"/>
      <c r="KJQ377" s="50"/>
      <c r="KJR377" s="50"/>
      <c r="KJS377" s="50"/>
      <c r="KJT377" s="50"/>
      <c r="KJU377" s="50"/>
      <c r="KJV377" s="50"/>
      <c r="KJW377" s="50"/>
      <c r="KJX377" s="50"/>
      <c r="KJY377" s="50"/>
      <c r="KJZ377" s="50"/>
      <c r="KKA377" s="50"/>
      <c r="KKB377" s="50"/>
      <c r="KKC377" s="50"/>
      <c r="KKD377" s="50"/>
      <c r="KKE377" s="50"/>
      <c r="KKF377" s="50"/>
      <c r="KKG377" s="50"/>
      <c r="KKH377" s="50"/>
      <c r="KKI377" s="50"/>
      <c r="KKJ377" s="50"/>
      <c r="KKK377" s="50"/>
      <c r="KKL377" s="50"/>
      <c r="KKM377" s="50"/>
      <c r="KKN377" s="50"/>
      <c r="KKO377" s="50"/>
      <c r="KKP377" s="50"/>
      <c r="KKQ377" s="50"/>
      <c r="KKR377" s="50"/>
      <c r="KKS377" s="50"/>
      <c r="KKT377" s="50"/>
      <c r="KKU377" s="50"/>
      <c r="KKV377" s="50"/>
      <c r="KKW377" s="50"/>
      <c r="KKX377" s="50"/>
      <c r="KKY377" s="50"/>
      <c r="KKZ377" s="50"/>
      <c r="KLA377" s="50"/>
      <c r="KLB377" s="50"/>
      <c r="KLC377" s="50"/>
      <c r="KLD377" s="50"/>
      <c r="KLE377" s="50"/>
      <c r="KLF377" s="50"/>
      <c r="KLG377" s="50"/>
      <c r="KLH377" s="50"/>
      <c r="KLI377" s="50"/>
      <c r="KLJ377" s="50"/>
      <c r="KLK377" s="50"/>
      <c r="KLL377" s="50"/>
      <c r="KLM377" s="50"/>
      <c r="KLN377" s="50"/>
      <c r="KLO377" s="50"/>
      <c r="KLP377" s="50"/>
      <c r="KLQ377" s="50"/>
      <c r="KLR377" s="50"/>
      <c r="KLS377" s="50"/>
      <c r="KLT377" s="50"/>
      <c r="KLU377" s="50"/>
      <c r="KLV377" s="50"/>
      <c r="KLW377" s="50"/>
      <c r="KLX377" s="50"/>
      <c r="KLY377" s="50"/>
      <c r="KLZ377" s="50"/>
      <c r="KMA377" s="50"/>
      <c r="KMB377" s="50"/>
      <c r="KMC377" s="50"/>
      <c r="KMD377" s="50"/>
      <c r="KME377" s="50"/>
      <c r="KMF377" s="50"/>
      <c r="KMG377" s="50"/>
      <c r="KMH377" s="50"/>
      <c r="KMI377" s="50"/>
      <c r="KMJ377" s="50"/>
      <c r="KMK377" s="50"/>
      <c r="KML377" s="50"/>
      <c r="KMM377" s="50"/>
      <c r="KMN377" s="50"/>
      <c r="KMO377" s="50"/>
      <c r="KMP377" s="50"/>
      <c r="KMQ377" s="50"/>
      <c r="KMR377" s="50"/>
      <c r="KMS377" s="50"/>
      <c r="KMT377" s="50"/>
      <c r="KMU377" s="50"/>
      <c r="KMV377" s="50"/>
      <c r="KMW377" s="50"/>
      <c r="KMX377" s="50"/>
      <c r="KMY377" s="50"/>
      <c r="KMZ377" s="50"/>
      <c r="KNA377" s="50"/>
      <c r="KNB377" s="50"/>
      <c r="KNC377" s="50"/>
      <c r="KND377" s="50"/>
      <c r="KNE377" s="50"/>
      <c r="KNF377" s="50"/>
      <c r="KNG377" s="50"/>
      <c r="KNH377" s="50"/>
      <c r="KNI377" s="50"/>
      <c r="KNJ377" s="50"/>
      <c r="KNK377" s="50"/>
      <c r="KNL377" s="50"/>
      <c r="KNM377" s="50"/>
      <c r="KNN377" s="50"/>
      <c r="KNO377" s="50"/>
      <c r="KNP377" s="50"/>
      <c r="KNQ377" s="50"/>
      <c r="KNR377" s="50"/>
      <c r="KNS377" s="50"/>
      <c r="KNT377" s="50"/>
      <c r="KNU377" s="50"/>
      <c r="KNV377" s="50"/>
      <c r="KNW377" s="50"/>
      <c r="KNX377" s="50"/>
      <c r="KNY377" s="50"/>
      <c r="KNZ377" s="50"/>
      <c r="KOA377" s="50"/>
      <c r="KOB377" s="50"/>
      <c r="KOC377" s="50"/>
      <c r="KOD377" s="50"/>
      <c r="KOE377" s="50"/>
      <c r="KOF377" s="50"/>
      <c r="KOG377" s="50"/>
      <c r="KOH377" s="50"/>
      <c r="KOI377" s="50"/>
      <c r="KOJ377" s="50"/>
      <c r="KOK377" s="50"/>
      <c r="KOL377" s="50"/>
      <c r="KOM377" s="50"/>
      <c r="KON377" s="50"/>
      <c r="KOO377" s="50"/>
      <c r="KOP377" s="50"/>
      <c r="KOQ377" s="50"/>
      <c r="KOR377" s="50"/>
      <c r="KOS377" s="50"/>
      <c r="KOT377" s="50"/>
      <c r="KOU377" s="50"/>
      <c r="KOV377" s="50"/>
      <c r="KOW377" s="50"/>
      <c r="KOX377" s="50"/>
      <c r="KOY377" s="50"/>
      <c r="KOZ377" s="50"/>
      <c r="KPA377" s="50"/>
      <c r="KPB377" s="50"/>
      <c r="KPC377" s="50"/>
      <c r="KPD377" s="50"/>
      <c r="KPE377" s="50"/>
      <c r="KPF377" s="50"/>
      <c r="KPG377" s="50"/>
      <c r="KPH377" s="50"/>
      <c r="KPI377" s="50"/>
      <c r="KPJ377" s="50"/>
      <c r="KPK377" s="50"/>
      <c r="KPL377" s="50"/>
      <c r="KPM377" s="50"/>
      <c r="KPN377" s="50"/>
      <c r="KPO377" s="50"/>
      <c r="KPP377" s="50"/>
      <c r="KPQ377" s="50"/>
      <c r="KPR377" s="50"/>
      <c r="KPS377" s="50"/>
      <c r="KPT377" s="50"/>
      <c r="KPU377" s="50"/>
      <c r="KPV377" s="50"/>
      <c r="KPW377" s="50"/>
      <c r="KPX377" s="50"/>
      <c r="KPY377" s="50"/>
      <c r="KPZ377" s="50"/>
      <c r="KQA377" s="50"/>
      <c r="KQB377" s="50"/>
      <c r="KQC377" s="50"/>
      <c r="KQD377" s="50"/>
      <c r="KQE377" s="50"/>
      <c r="KQF377" s="50"/>
      <c r="KQG377" s="50"/>
      <c r="KQH377" s="50"/>
      <c r="KQI377" s="50"/>
      <c r="KQJ377" s="50"/>
      <c r="KQK377" s="50"/>
      <c r="KQL377" s="50"/>
      <c r="KQM377" s="50"/>
      <c r="KQN377" s="50"/>
      <c r="KQO377" s="50"/>
      <c r="KQP377" s="50"/>
      <c r="KQQ377" s="50"/>
      <c r="KQR377" s="50"/>
      <c r="KQS377" s="50"/>
      <c r="KQT377" s="50"/>
      <c r="KQU377" s="50"/>
      <c r="KQV377" s="50"/>
      <c r="KQW377" s="50"/>
      <c r="KQX377" s="50"/>
      <c r="KQY377" s="50"/>
      <c r="KQZ377" s="50"/>
      <c r="KRA377" s="50"/>
      <c r="KRB377" s="50"/>
      <c r="KRC377" s="50"/>
      <c r="KRD377" s="50"/>
      <c r="KRE377" s="50"/>
      <c r="KRF377" s="50"/>
      <c r="KRG377" s="50"/>
      <c r="KRH377" s="50"/>
      <c r="KRI377" s="50"/>
      <c r="KRJ377" s="50"/>
      <c r="KRK377" s="50"/>
      <c r="KRL377" s="50"/>
      <c r="KRM377" s="50"/>
      <c r="KRN377" s="50"/>
      <c r="KRO377" s="50"/>
      <c r="KRP377" s="50"/>
      <c r="KRQ377" s="50"/>
      <c r="KRR377" s="50"/>
      <c r="KRS377" s="50"/>
      <c r="KRT377" s="50"/>
      <c r="KRU377" s="50"/>
      <c r="KRV377" s="50"/>
      <c r="KRW377" s="50"/>
      <c r="KRX377" s="50"/>
      <c r="KRY377" s="50"/>
      <c r="KRZ377" s="50"/>
      <c r="KSA377" s="50"/>
      <c r="KSB377" s="50"/>
      <c r="KSC377" s="50"/>
      <c r="KSD377" s="50"/>
      <c r="KSE377" s="50"/>
      <c r="KSF377" s="50"/>
      <c r="KSG377" s="50"/>
      <c r="KSH377" s="50"/>
      <c r="KSI377" s="50"/>
      <c r="KSJ377" s="50"/>
      <c r="KSK377" s="50"/>
      <c r="KSL377" s="50"/>
      <c r="KSM377" s="50"/>
      <c r="KSN377" s="50"/>
      <c r="KSO377" s="50"/>
      <c r="KSP377" s="50"/>
      <c r="KSQ377" s="50"/>
      <c r="KSR377" s="50"/>
      <c r="KSS377" s="50"/>
      <c r="KST377" s="50"/>
      <c r="KSU377" s="50"/>
      <c r="KSV377" s="50"/>
      <c r="KSW377" s="50"/>
      <c r="KSX377" s="50"/>
      <c r="KSY377" s="50"/>
      <c r="KSZ377" s="50"/>
      <c r="KTA377" s="50"/>
      <c r="KTB377" s="50"/>
      <c r="KTC377" s="50"/>
      <c r="KTD377" s="50"/>
      <c r="KTE377" s="50"/>
      <c r="KTF377" s="50"/>
      <c r="KTG377" s="50"/>
      <c r="KTH377" s="50"/>
      <c r="KTI377" s="50"/>
      <c r="KTJ377" s="50"/>
      <c r="KTK377" s="50"/>
      <c r="KTL377" s="50"/>
      <c r="KTM377" s="50"/>
      <c r="KTN377" s="50"/>
      <c r="KTO377" s="50"/>
      <c r="KTP377" s="50"/>
      <c r="KTQ377" s="50"/>
      <c r="KTR377" s="50"/>
      <c r="KTS377" s="50"/>
      <c r="KTT377" s="50"/>
      <c r="KTU377" s="50"/>
      <c r="KTV377" s="50"/>
      <c r="KTW377" s="50"/>
      <c r="KTX377" s="50"/>
      <c r="KTY377" s="50"/>
      <c r="KTZ377" s="50"/>
      <c r="KUA377" s="50"/>
      <c r="KUB377" s="50"/>
      <c r="KUC377" s="50"/>
      <c r="KUD377" s="50"/>
      <c r="KUE377" s="50"/>
      <c r="KUF377" s="50"/>
      <c r="KUG377" s="50"/>
      <c r="KUH377" s="50"/>
      <c r="KUI377" s="50"/>
      <c r="KUJ377" s="50"/>
      <c r="KUK377" s="50"/>
      <c r="KUL377" s="50"/>
      <c r="KUM377" s="50"/>
      <c r="KUN377" s="50"/>
      <c r="KUO377" s="50"/>
      <c r="KUP377" s="50"/>
      <c r="KUQ377" s="50"/>
      <c r="KUR377" s="50"/>
      <c r="KUS377" s="50"/>
      <c r="KUT377" s="50"/>
      <c r="KUU377" s="50"/>
      <c r="KUV377" s="50"/>
      <c r="KUW377" s="50"/>
      <c r="KUX377" s="50"/>
      <c r="KUY377" s="50"/>
      <c r="KUZ377" s="50"/>
      <c r="KVA377" s="50"/>
      <c r="KVB377" s="50"/>
      <c r="KVC377" s="50"/>
      <c r="KVD377" s="50"/>
      <c r="KVE377" s="50"/>
      <c r="KVF377" s="50"/>
      <c r="KVG377" s="50"/>
      <c r="KVH377" s="50"/>
      <c r="KVI377" s="50"/>
      <c r="KVJ377" s="50"/>
      <c r="KVK377" s="50"/>
      <c r="KVL377" s="50"/>
      <c r="KVM377" s="50"/>
      <c r="KVN377" s="50"/>
      <c r="KVO377" s="50"/>
      <c r="KVP377" s="50"/>
      <c r="KVQ377" s="50"/>
      <c r="KVR377" s="50"/>
      <c r="KVS377" s="50"/>
      <c r="KVT377" s="50"/>
      <c r="KVU377" s="50"/>
      <c r="KVV377" s="50"/>
      <c r="KVW377" s="50"/>
      <c r="KVX377" s="50"/>
      <c r="KVY377" s="50"/>
      <c r="KVZ377" s="50"/>
      <c r="KWA377" s="50"/>
      <c r="KWB377" s="50"/>
      <c r="KWC377" s="50"/>
      <c r="KWD377" s="50"/>
      <c r="KWE377" s="50"/>
      <c r="KWF377" s="50"/>
      <c r="KWG377" s="50"/>
      <c r="KWH377" s="50"/>
      <c r="KWI377" s="50"/>
      <c r="KWJ377" s="50"/>
      <c r="KWK377" s="50"/>
      <c r="KWL377" s="50"/>
      <c r="KWM377" s="50"/>
      <c r="KWN377" s="50"/>
      <c r="KWO377" s="50"/>
      <c r="KWP377" s="50"/>
      <c r="KWQ377" s="50"/>
      <c r="KWR377" s="50"/>
      <c r="KWS377" s="50"/>
      <c r="KWT377" s="50"/>
      <c r="KWU377" s="50"/>
      <c r="KWV377" s="50"/>
      <c r="KWW377" s="50"/>
      <c r="KWX377" s="50"/>
      <c r="KWY377" s="50"/>
      <c r="KWZ377" s="50"/>
      <c r="KXA377" s="50"/>
      <c r="KXB377" s="50"/>
      <c r="KXC377" s="50"/>
      <c r="KXD377" s="50"/>
      <c r="KXE377" s="50"/>
      <c r="KXF377" s="50"/>
      <c r="KXG377" s="50"/>
      <c r="KXH377" s="50"/>
      <c r="KXI377" s="50"/>
      <c r="KXJ377" s="50"/>
      <c r="KXK377" s="50"/>
      <c r="KXL377" s="50"/>
      <c r="KXM377" s="50"/>
      <c r="KXN377" s="50"/>
      <c r="KXO377" s="50"/>
      <c r="KXP377" s="50"/>
      <c r="KXQ377" s="50"/>
      <c r="KXR377" s="50"/>
      <c r="KXS377" s="50"/>
      <c r="KXT377" s="50"/>
      <c r="KXU377" s="50"/>
      <c r="KXV377" s="50"/>
      <c r="KXW377" s="50"/>
      <c r="KXX377" s="50"/>
      <c r="KXY377" s="50"/>
      <c r="KXZ377" s="50"/>
      <c r="KYA377" s="50"/>
      <c r="KYB377" s="50"/>
      <c r="KYC377" s="50"/>
      <c r="KYD377" s="50"/>
      <c r="KYE377" s="50"/>
      <c r="KYF377" s="50"/>
      <c r="KYG377" s="50"/>
      <c r="KYH377" s="50"/>
      <c r="KYI377" s="50"/>
      <c r="KYJ377" s="50"/>
      <c r="KYK377" s="50"/>
      <c r="KYL377" s="50"/>
      <c r="KYM377" s="50"/>
      <c r="KYN377" s="50"/>
      <c r="KYO377" s="50"/>
      <c r="KYP377" s="50"/>
      <c r="KYQ377" s="50"/>
      <c r="KYR377" s="50"/>
      <c r="KYS377" s="50"/>
      <c r="KYT377" s="50"/>
      <c r="KYU377" s="50"/>
      <c r="KYV377" s="50"/>
      <c r="KYW377" s="50"/>
      <c r="KYX377" s="50"/>
      <c r="KYY377" s="50"/>
      <c r="KYZ377" s="50"/>
      <c r="KZA377" s="50"/>
      <c r="KZB377" s="50"/>
      <c r="KZC377" s="50"/>
      <c r="KZD377" s="50"/>
      <c r="KZE377" s="50"/>
      <c r="KZF377" s="50"/>
      <c r="KZG377" s="50"/>
      <c r="KZH377" s="50"/>
      <c r="KZI377" s="50"/>
      <c r="KZJ377" s="50"/>
      <c r="KZK377" s="50"/>
      <c r="KZL377" s="50"/>
      <c r="KZM377" s="50"/>
      <c r="KZN377" s="50"/>
      <c r="KZO377" s="50"/>
      <c r="KZP377" s="50"/>
      <c r="KZQ377" s="50"/>
      <c r="KZR377" s="50"/>
      <c r="KZS377" s="50"/>
      <c r="KZT377" s="50"/>
      <c r="KZU377" s="50"/>
      <c r="KZV377" s="50"/>
      <c r="KZW377" s="50"/>
      <c r="KZX377" s="50"/>
      <c r="KZY377" s="50"/>
      <c r="KZZ377" s="50"/>
      <c r="LAA377" s="50"/>
      <c r="LAB377" s="50"/>
      <c r="LAC377" s="50"/>
      <c r="LAD377" s="50"/>
      <c r="LAE377" s="50"/>
      <c r="LAF377" s="50"/>
      <c r="LAG377" s="50"/>
      <c r="LAH377" s="50"/>
      <c r="LAI377" s="50"/>
      <c r="LAJ377" s="50"/>
      <c r="LAK377" s="50"/>
      <c r="LAL377" s="50"/>
      <c r="LAM377" s="50"/>
      <c r="LAN377" s="50"/>
      <c r="LAO377" s="50"/>
      <c r="LAP377" s="50"/>
      <c r="LAQ377" s="50"/>
      <c r="LAR377" s="50"/>
      <c r="LAS377" s="50"/>
      <c r="LAT377" s="50"/>
      <c r="LAU377" s="50"/>
      <c r="LAV377" s="50"/>
      <c r="LAW377" s="50"/>
      <c r="LAX377" s="50"/>
      <c r="LAY377" s="50"/>
      <c r="LAZ377" s="50"/>
      <c r="LBA377" s="50"/>
      <c r="LBB377" s="50"/>
      <c r="LBC377" s="50"/>
      <c r="LBD377" s="50"/>
      <c r="LBE377" s="50"/>
      <c r="LBF377" s="50"/>
      <c r="LBG377" s="50"/>
      <c r="LBH377" s="50"/>
      <c r="LBI377" s="50"/>
      <c r="LBJ377" s="50"/>
      <c r="LBK377" s="50"/>
      <c r="LBL377" s="50"/>
      <c r="LBM377" s="50"/>
      <c r="LBN377" s="50"/>
      <c r="LBO377" s="50"/>
      <c r="LBP377" s="50"/>
      <c r="LBQ377" s="50"/>
      <c r="LBR377" s="50"/>
      <c r="LBS377" s="50"/>
      <c r="LBT377" s="50"/>
      <c r="LBU377" s="50"/>
      <c r="LBV377" s="50"/>
      <c r="LBW377" s="50"/>
      <c r="LBX377" s="50"/>
      <c r="LBY377" s="50"/>
      <c r="LBZ377" s="50"/>
      <c r="LCA377" s="50"/>
      <c r="LCB377" s="50"/>
      <c r="LCC377" s="50"/>
      <c r="LCD377" s="50"/>
      <c r="LCE377" s="50"/>
      <c r="LCF377" s="50"/>
      <c r="LCG377" s="50"/>
      <c r="LCH377" s="50"/>
      <c r="LCI377" s="50"/>
      <c r="LCJ377" s="50"/>
      <c r="LCK377" s="50"/>
      <c r="LCL377" s="50"/>
      <c r="LCM377" s="50"/>
      <c r="LCN377" s="50"/>
      <c r="LCO377" s="50"/>
      <c r="LCP377" s="50"/>
      <c r="LCQ377" s="50"/>
      <c r="LCR377" s="50"/>
      <c r="LCS377" s="50"/>
      <c r="LCT377" s="50"/>
      <c r="LCU377" s="50"/>
      <c r="LCV377" s="50"/>
      <c r="LCW377" s="50"/>
      <c r="LCX377" s="50"/>
      <c r="LCY377" s="50"/>
      <c r="LCZ377" s="50"/>
      <c r="LDA377" s="50"/>
      <c r="LDB377" s="50"/>
      <c r="LDC377" s="50"/>
      <c r="LDD377" s="50"/>
      <c r="LDE377" s="50"/>
      <c r="LDF377" s="50"/>
      <c r="LDG377" s="50"/>
      <c r="LDH377" s="50"/>
      <c r="LDI377" s="50"/>
      <c r="LDJ377" s="50"/>
      <c r="LDK377" s="50"/>
      <c r="LDL377" s="50"/>
      <c r="LDM377" s="50"/>
      <c r="LDN377" s="50"/>
      <c r="LDO377" s="50"/>
      <c r="LDP377" s="50"/>
      <c r="LDQ377" s="50"/>
      <c r="LDR377" s="50"/>
      <c r="LDS377" s="50"/>
      <c r="LDT377" s="50"/>
      <c r="LDU377" s="50"/>
      <c r="LDV377" s="50"/>
      <c r="LDW377" s="50"/>
      <c r="LDX377" s="50"/>
      <c r="LDY377" s="50"/>
      <c r="LDZ377" s="50"/>
      <c r="LEA377" s="50"/>
      <c r="LEB377" s="50"/>
      <c r="LEC377" s="50"/>
      <c r="LED377" s="50"/>
      <c r="LEE377" s="50"/>
      <c r="LEF377" s="50"/>
      <c r="LEG377" s="50"/>
      <c r="LEH377" s="50"/>
      <c r="LEI377" s="50"/>
      <c r="LEJ377" s="50"/>
      <c r="LEK377" s="50"/>
      <c r="LEL377" s="50"/>
      <c r="LEM377" s="50"/>
      <c r="LEN377" s="50"/>
      <c r="LEO377" s="50"/>
      <c r="LEP377" s="50"/>
      <c r="LEQ377" s="50"/>
      <c r="LER377" s="50"/>
      <c r="LES377" s="50"/>
      <c r="LET377" s="50"/>
      <c r="LEU377" s="50"/>
      <c r="LEV377" s="50"/>
      <c r="LEW377" s="50"/>
      <c r="LEX377" s="50"/>
      <c r="LEY377" s="50"/>
      <c r="LEZ377" s="50"/>
      <c r="LFA377" s="50"/>
      <c r="LFB377" s="50"/>
      <c r="LFC377" s="50"/>
      <c r="LFD377" s="50"/>
      <c r="LFE377" s="50"/>
      <c r="LFF377" s="50"/>
      <c r="LFG377" s="50"/>
      <c r="LFH377" s="50"/>
      <c r="LFI377" s="50"/>
      <c r="LFJ377" s="50"/>
      <c r="LFK377" s="50"/>
      <c r="LFL377" s="50"/>
      <c r="LFM377" s="50"/>
      <c r="LFN377" s="50"/>
      <c r="LFO377" s="50"/>
      <c r="LFP377" s="50"/>
      <c r="LFQ377" s="50"/>
      <c r="LFR377" s="50"/>
      <c r="LFS377" s="50"/>
      <c r="LFT377" s="50"/>
      <c r="LFU377" s="50"/>
      <c r="LFV377" s="50"/>
      <c r="LFW377" s="50"/>
      <c r="LFX377" s="50"/>
      <c r="LFY377" s="50"/>
      <c r="LFZ377" s="50"/>
      <c r="LGA377" s="50"/>
      <c r="LGB377" s="50"/>
      <c r="LGC377" s="50"/>
      <c r="LGD377" s="50"/>
      <c r="LGE377" s="50"/>
      <c r="LGF377" s="50"/>
      <c r="LGG377" s="50"/>
      <c r="LGH377" s="50"/>
      <c r="LGI377" s="50"/>
      <c r="LGJ377" s="50"/>
      <c r="LGK377" s="50"/>
      <c r="LGL377" s="50"/>
      <c r="LGM377" s="50"/>
      <c r="LGN377" s="50"/>
      <c r="LGO377" s="50"/>
      <c r="LGP377" s="50"/>
      <c r="LGQ377" s="50"/>
      <c r="LGR377" s="50"/>
      <c r="LGS377" s="50"/>
      <c r="LGT377" s="50"/>
      <c r="LGU377" s="50"/>
      <c r="LGV377" s="50"/>
      <c r="LGW377" s="50"/>
      <c r="LGX377" s="50"/>
      <c r="LGY377" s="50"/>
      <c r="LGZ377" s="50"/>
      <c r="LHA377" s="50"/>
      <c r="LHB377" s="50"/>
      <c r="LHC377" s="50"/>
      <c r="LHD377" s="50"/>
      <c r="LHE377" s="50"/>
      <c r="LHF377" s="50"/>
      <c r="LHG377" s="50"/>
      <c r="LHH377" s="50"/>
      <c r="LHI377" s="50"/>
      <c r="LHJ377" s="50"/>
      <c r="LHK377" s="50"/>
      <c r="LHL377" s="50"/>
      <c r="LHM377" s="50"/>
      <c r="LHN377" s="50"/>
      <c r="LHO377" s="50"/>
      <c r="LHP377" s="50"/>
      <c r="LHQ377" s="50"/>
      <c r="LHR377" s="50"/>
      <c r="LHS377" s="50"/>
      <c r="LHT377" s="50"/>
      <c r="LHU377" s="50"/>
      <c r="LHV377" s="50"/>
      <c r="LHW377" s="50"/>
      <c r="LHX377" s="50"/>
      <c r="LHY377" s="50"/>
      <c r="LHZ377" s="50"/>
      <c r="LIA377" s="50"/>
      <c r="LIB377" s="50"/>
      <c r="LIC377" s="50"/>
      <c r="LID377" s="50"/>
      <c r="LIE377" s="50"/>
      <c r="LIF377" s="50"/>
      <c r="LIG377" s="50"/>
      <c r="LIH377" s="50"/>
      <c r="LII377" s="50"/>
      <c r="LIJ377" s="50"/>
      <c r="LIK377" s="50"/>
      <c r="LIL377" s="50"/>
      <c r="LIM377" s="50"/>
      <c r="LIN377" s="50"/>
      <c r="LIO377" s="50"/>
      <c r="LIP377" s="50"/>
      <c r="LIQ377" s="50"/>
      <c r="LIR377" s="50"/>
      <c r="LIS377" s="50"/>
      <c r="LIT377" s="50"/>
      <c r="LIU377" s="50"/>
      <c r="LIV377" s="50"/>
      <c r="LIW377" s="50"/>
      <c r="LIX377" s="50"/>
      <c r="LIY377" s="50"/>
      <c r="LIZ377" s="50"/>
      <c r="LJA377" s="50"/>
      <c r="LJB377" s="50"/>
      <c r="LJC377" s="50"/>
      <c r="LJD377" s="50"/>
      <c r="LJE377" s="50"/>
      <c r="LJF377" s="50"/>
      <c r="LJG377" s="50"/>
      <c r="LJH377" s="50"/>
      <c r="LJI377" s="50"/>
      <c r="LJJ377" s="50"/>
      <c r="LJK377" s="50"/>
      <c r="LJL377" s="50"/>
      <c r="LJM377" s="50"/>
      <c r="LJN377" s="50"/>
      <c r="LJO377" s="50"/>
      <c r="LJP377" s="50"/>
      <c r="LJQ377" s="50"/>
      <c r="LJR377" s="50"/>
      <c r="LJS377" s="50"/>
      <c r="LJT377" s="50"/>
      <c r="LJU377" s="50"/>
      <c r="LJV377" s="50"/>
      <c r="LJW377" s="50"/>
      <c r="LJX377" s="50"/>
      <c r="LJY377" s="50"/>
      <c r="LJZ377" s="50"/>
      <c r="LKA377" s="50"/>
      <c r="LKB377" s="50"/>
      <c r="LKC377" s="50"/>
      <c r="LKD377" s="50"/>
      <c r="LKE377" s="50"/>
      <c r="LKF377" s="50"/>
      <c r="LKG377" s="50"/>
      <c r="LKH377" s="50"/>
      <c r="LKI377" s="50"/>
      <c r="LKJ377" s="50"/>
      <c r="LKK377" s="50"/>
      <c r="LKL377" s="50"/>
      <c r="LKM377" s="50"/>
      <c r="LKN377" s="50"/>
      <c r="LKO377" s="50"/>
      <c r="LKP377" s="50"/>
      <c r="LKQ377" s="50"/>
      <c r="LKR377" s="50"/>
      <c r="LKS377" s="50"/>
      <c r="LKT377" s="50"/>
      <c r="LKU377" s="50"/>
      <c r="LKV377" s="50"/>
      <c r="LKW377" s="50"/>
      <c r="LKX377" s="50"/>
      <c r="LKY377" s="50"/>
      <c r="LKZ377" s="50"/>
      <c r="LLA377" s="50"/>
      <c r="LLB377" s="50"/>
      <c r="LLC377" s="50"/>
      <c r="LLD377" s="50"/>
      <c r="LLE377" s="50"/>
      <c r="LLF377" s="50"/>
      <c r="LLG377" s="50"/>
      <c r="LLH377" s="50"/>
      <c r="LLI377" s="50"/>
      <c r="LLJ377" s="50"/>
      <c r="LLK377" s="50"/>
      <c r="LLL377" s="50"/>
      <c r="LLM377" s="50"/>
      <c r="LLN377" s="50"/>
      <c r="LLO377" s="50"/>
      <c r="LLP377" s="50"/>
      <c r="LLQ377" s="50"/>
      <c r="LLR377" s="50"/>
      <c r="LLS377" s="50"/>
      <c r="LLT377" s="50"/>
      <c r="LLU377" s="50"/>
      <c r="LLV377" s="50"/>
      <c r="LLW377" s="50"/>
      <c r="LLX377" s="50"/>
      <c r="LLY377" s="50"/>
      <c r="LLZ377" s="50"/>
      <c r="LMA377" s="50"/>
      <c r="LMB377" s="50"/>
      <c r="LMC377" s="50"/>
      <c r="LMD377" s="50"/>
      <c r="LME377" s="50"/>
      <c r="LMF377" s="50"/>
      <c r="LMG377" s="50"/>
      <c r="LMH377" s="50"/>
      <c r="LMI377" s="50"/>
      <c r="LMJ377" s="50"/>
      <c r="LMK377" s="50"/>
      <c r="LML377" s="50"/>
      <c r="LMM377" s="50"/>
      <c r="LMN377" s="50"/>
      <c r="LMO377" s="50"/>
      <c r="LMP377" s="50"/>
      <c r="LMQ377" s="50"/>
      <c r="LMR377" s="50"/>
      <c r="LMS377" s="50"/>
      <c r="LMT377" s="50"/>
      <c r="LMU377" s="50"/>
      <c r="LMV377" s="50"/>
      <c r="LMW377" s="50"/>
      <c r="LMX377" s="50"/>
      <c r="LMY377" s="50"/>
      <c r="LMZ377" s="50"/>
      <c r="LNA377" s="50"/>
      <c r="LNB377" s="50"/>
      <c r="LNC377" s="50"/>
      <c r="LND377" s="50"/>
      <c r="LNE377" s="50"/>
      <c r="LNF377" s="50"/>
      <c r="LNG377" s="50"/>
      <c r="LNH377" s="50"/>
      <c r="LNI377" s="50"/>
      <c r="LNJ377" s="50"/>
      <c r="LNK377" s="50"/>
      <c r="LNL377" s="50"/>
      <c r="LNM377" s="50"/>
      <c r="LNN377" s="50"/>
      <c r="LNO377" s="50"/>
      <c r="LNP377" s="50"/>
      <c r="LNQ377" s="50"/>
      <c r="LNR377" s="50"/>
      <c r="LNS377" s="50"/>
      <c r="LNT377" s="50"/>
      <c r="LNU377" s="50"/>
      <c r="LNV377" s="50"/>
      <c r="LNW377" s="50"/>
      <c r="LNX377" s="50"/>
      <c r="LNY377" s="50"/>
      <c r="LNZ377" s="50"/>
      <c r="LOA377" s="50"/>
      <c r="LOB377" s="50"/>
      <c r="LOC377" s="50"/>
      <c r="LOD377" s="50"/>
      <c r="LOE377" s="50"/>
      <c r="LOF377" s="50"/>
      <c r="LOG377" s="50"/>
      <c r="LOH377" s="50"/>
      <c r="LOI377" s="50"/>
      <c r="LOJ377" s="50"/>
      <c r="LOK377" s="50"/>
      <c r="LOL377" s="50"/>
      <c r="LOM377" s="50"/>
      <c r="LON377" s="50"/>
      <c r="LOO377" s="50"/>
      <c r="LOP377" s="50"/>
      <c r="LOQ377" s="50"/>
      <c r="LOR377" s="50"/>
      <c r="LOS377" s="50"/>
      <c r="LOT377" s="50"/>
      <c r="LOU377" s="50"/>
      <c r="LOV377" s="50"/>
      <c r="LOW377" s="50"/>
      <c r="LOX377" s="50"/>
      <c r="LOY377" s="50"/>
      <c r="LOZ377" s="50"/>
      <c r="LPA377" s="50"/>
      <c r="LPB377" s="50"/>
      <c r="LPC377" s="50"/>
      <c r="LPD377" s="50"/>
      <c r="LPE377" s="50"/>
      <c r="LPF377" s="50"/>
      <c r="LPG377" s="50"/>
      <c r="LPH377" s="50"/>
      <c r="LPI377" s="50"/>
      <c r="LPJ377" s="50"/>
      <c r="LPK377" s="50"/>
      <c r="LPL377" s="50"/>
      <c r="LPM377" s="50"/>
      <c r="LPN377" s="50"/>
      <c r="LPO377" s="50"/>
      <c r="LPP377" s="50"/>
      <c r="LPQ377" s="50"/>
      <c r="LPR377" s="50"/>
      <c r="LPS377" s="50"/>
      <c r="LPT377" s="50"/>
      <c r="LPU377" s="50"/>
      <c r="LPV377" s="50"/>
      <c r="LPW377" s="50"/>
      <c r="LPX377" s="50"/>
      <c r="LPY377" s="50"/>
      <c r="LPZ377" s="50"/>
      <c r="LQA377" s="50"/>
      <c r="LQB377" s="50"/>
      <c r="LQC377" s="50"/>
      <c r="LQD377" s="50"/>
      <c r="LQE377" s="50"/>
      <c r="LQF377" s="50"/>
      <c r="LQG377" s="50"/>
      <c r="LQH377" s="50"/>
      <c r="LQI377" s="50"/>
      <c r="LQJ377" s="50"/>
      <c r="LQK377" s="50"/>
      <c r="LQL377" s="50"/>
      <c r="LQM377" s="50"/>
      <c r="LQN377" s="50"/>
      <c r="LQO377" s="50"/>
      <c r="LQP377" s="50"/>
      <c r="LQQ377" s="50"/>
      <c r="LQR377" s="50"/>
      <c r="LQS377" s="50"/>
      <c r="LQT377" s="50"/>
      <c r="LQU377" s="50"/>
      <c r="LQV377" s="50"/>
      <c r="LQW377" s="50"/>
      <c r="LQX377" s="50"/>
      <c r="LQY377" s="50"/>
      <c r="LQZ377" s="50"/>
      <c r="LRA377" s="50"/>
      <c r="LRB377" s="50"/>
      <c r="LRC377" s="50"/>
      <c r="LRD377" s="50"/>
      <c r="LRE377" s="50"/>
      <c r="LRF377" s="50"/>
      <c r="LRG377" s="50"/>
      <c r="LRH377" s="50"/>
      <c r="LRI377" s="50"/>
      <c r="LRJ377" s="50"/>
      <c r="LRK377" s="50"/>
      <c r="LRL377" s="50"/>
      <c r="LRM377" s="50"/>
      <c r="LRN377" s="50"/>
      <c r="LRO377" s="50"/>
      <c r="LRP377" s="50"/>
      <c r="LRQ377" s="50"/>
      <c r="LRR377" s="50"/>
      <c r="LRS377" s="50"/>
      <c r="LRT377" s="50"/>
      <c r="LRU377" s="50"/>
      <c r="LRV377" s="50"/>
      <c r="LRW377" s="50"/>
      <c r="LRX377" s="50"/>
      <c r="LRY377" s="50"/>
      <c r="LRZ377" s="50"/>
      <c r="LSA377" s="50"/>
      <c r="LSB377" s="50"/>
      <c r="LSC377" s="50"/>
      <c r="LSD377" s="50"/>
      <c r="LSE377" s="50"/>
      <c r="LSF377" s="50"/>
      <c r="LSG377" s="50"/>
      <c r="LSH377" s="50"/>
      <c r="LSI377" s="50"/>
      <c r="LSJ377" s="50"/>
      <c r="LSK377" s="50"/>
      <c r="LSL377" s="50"/>
      <c r="LSM377" s="50"/>
      <c r="LSN377" s="50"/>
      <c r="LSO377" s="50"/>
      <c r="LSP377" s="50"/>
      <c r="LSQ377" s="50"/>
      <c r="LSR377" s="50"/>
      <c r="LSS377" s="50"/>
      <c r="LST377" s="50"/>
      <c r="LSU377" s="50"/>
      <c r="LSV377" s="50"/>
      <c r="LSW377" s="50"/>
      <c r="LSX377" s="50"/>
      <c r="LSY377" s="50"/>
      <c r="LSZ377" s="50"/>
      <c r="LTA377" s="50"/>
      <c r="LTB377" s="50"/>
      <c r="LTC377" s="50"/>
      <c r="LTD377" s="50"/>
      <c r="LTE377" s="50"/>
      <c r="LTF377" s="50"/>
      <c r="LTG377" s="50"/>
      <c r="LTH377" s="50"/>
      <c r="LTI377" s="50"/>
      <c r="LTJ377" s="50"/>
      <c r="LTK377" s="50"/>
      <c r="LTL377" s="50"/>
      <c r="LTM377" s="50"/>
      <c r="LTN377" s="50"/>
      <c r="LTO377" s="50"/>
      <c r="LTP377" s="50"/>
      <c r="LTQ377" s="50"/>
      <c r="LTR377" s="50"/>
      <c r="LTS377" s="50"/>
      <c r="LTT377" s="50"/>
      <c r="LTU377" s="50"/>
      <c r="LTV377" s="50"/>
      <c r="LTW377" s="50"/>
      <c r="LTX377" s="50"/>
      <c r="LTY377" s="50"/>
      <c r="LTZ377" s="50"/>
      <c r="LUA377" s="50"/>
      <c r="LUB377" s="50"/>
      <c r="LUC377" s="50"/>
      <c r="LUD377" s="50"/>
      <c r="LUE377" s="50"/>
      <c r="LUF377" s="50"/>
      <c r="LUG377" s="50"/>
      <c r="LUH377" s="50"/>
      <c r="LUI377" s="50"/>
      <c r="LUJ377" s="50"/>
      <c r="LUK377" s="50"/>
      <c r="LUL377" s="50"/>
      <c r="LUM377" s="50"/>
      <c r="LUN377" s="50"/>
      <c r="LUO377" s="50"/>
      <c r="LUP377" s="50"/>
      <c r="LUQ377" s="50"/>
      <c r="LUR377" s="50"/>
      <c r="LUS377" s="50"/>
      <c r="LUT377" s="50"/>
      <c r="LUU377" s="50"/>
      <c r="LUV377" s="50"/>
      <c r="LUW377" s="50"/>
      <c r="LUX377" s="50"/>
      <c r="LUY377" s="50"/>
      <c r="LUZ377" s="50"/>
      <c r="LVA377" s="50"/>
      <c r="LVB377" s="50"/>
      <c r="LVC377" s="50"/>
      <c r="LVD377" s="50"/>
      <c r="LVE377" s="50"/>
      <c r="LVF377" s="50"/>
      <c r="LVG377" s="50"/>
      <c r="LVH377" s="50"/>
      <c r="LVI377" s="50"/>
      <c r="LVJ377" s="50"/>
      <c r="LVK377" s="50"/>
      <c r="LVL377" s="50"/>
      <c r="LVM377" s="50"/>
      <c r="LVN377" s="50"/>
      <c r="LVO377" s="50"/>
      <c r="LVP377" s="50"/>
      <c r="LVQ377" s="50"/>
      <c r="LVR377" s="50"/>
      <c r="LVS377" s="50"/>
      <c r="LVT377" s="50"/>
      <c r="LVU377" s="50"/>
      <c r="LVV377" s="50"/>
      <c r="LVW377" s="50"/>
      <c r="LVX377" s="50"/>
      <c r="LVY377" s="50"/>
      <c r="LVZ377" s="50"/>
      <c r="LWA377" s="50"/>
      <c r="LWB377" s="50"/>
      <c r="LWC377" s="50"/>
      <c r="LWD377" s="50"/>
      <c r="LWE377" s="50"/>
      <c r="LWF377" s="50"/>
      <c r="LWG377" s="50"/>
      <c r="LWH377" s="50"/>
      <c r="LWI377" s="50"/>
      <c r="LWJ377" s="50"/>
      <c r="LWK377" s="50"/>
      <c r="LWL377" s="50"/>
      <c r="LWM377" s="50"/>
      <c r="LWN377" s="50"/>
      <c r="LWO377" s="50"/>
      <c r="LWP377" s="50"/>
      <c r="LWQ377" s="50"/>
      <c r="LWR377" s="50"/>
      <c r="LWS377" s="50"/>
      <c r="LWT377" s="50"/>
      <c r="LWU377" s="50"/>
      <c r="LWV377" s="50"/>
      <c r="LWW377" s="50"/>
      <c r="LWX377" s="50"/>
      <c r="LWY377" s="50"/>
      <c r="LWZ377" s="50"/>
      <c r="LXA377" s="50"/>
      <c r="LXB377" s="50"/>
      <c r="LXC377" s="50"/>
      <c r="LXD377" s="50"/>
      <c r="LXE377" s="50"/>
      <c r="LXF377" s="50"/>
      <c r="LXG377" s="50"/>
      <c r="LXH377" s="50"/>
      <c r="LXI377" s="50"/>
      <c r="LXJ377" s="50"/>
      <c r="LXK377" s="50"/>
      <c r="LXL377" s="50"/>
      <c r="LXM377" s="50"/>
      <c r="LXN377" s="50"/>
      <c r="LXO377" s="50"/>
      <c r="LXP377" s="50"/>
      <c r="LXQ377" s="50"/>
      <c r="LXR377" s="50"/>
      <c r="LXS377" s="50"/>
      <c r="LXT377" s="50"/>
      <c r="LXU377" s="50"/>
      <c r="LXV377" s="50"/>
      <c r="LXW377" s="50"/>
      <c r="LXX377" s="50"/>
      <c r="LXY377" s="50"/>
      <c r="LXZ377" s="50"/>
      <c r="LYA377" s="50"/>
      <c r="LYB377" s="50"/>
      <c r="LYC377" s="50"/>
      <c r="LYD377" s="50"/>
      <c r="LYE377" s="50"/>
      <c r="LYF377" s="50"/>
      <c r="LYG377" s="50"/>
      <c r="LYH377" s="50"/>
      <c r="LYI377" s="50"/>
      <c r="LYJ377" s="50"/>
      <c r="LYK377" s="50"/>
      <c r="LYL377" s="50"/>
      <c r="LYM377" s="50"/>
      <c r="LYN377" s="50"/>
      <c r="LYO377" s="50"/>
      <c r="LYP377" s="50"/>
      <c r="LYQ377" s="50"/>
      <c r="LYR377" s="50"/>
      <c r="LYS377" s="50"/>
      <c r="LYT377" s="50"/>
      <c r="LYU377" s="50"/>
      <c r="LYV377" s="50"/>
      <c r="LYW377" s="50"/>
      <c r="LYX377" s="50"/>
      <c r="LYY377" s="50"/>
      <c r="LYZ377" s="50"/>
      <c r="LZA377" s="50"/>
      <c r="LZB377" s="50"/>
      <c r="LZC377" s="50"/>
      <c r="LZD377" s="50"/>
      <c r="LZE377" s="50"/>
      <c r="LZF377" s="50"/>
      <c r="LZG377" s="50"/>
      <c r="LZH377" s="50"/>
      <c r="LZI377" s="50"/>
      <c r="LZJ377" s="50"/>
      <c r="LZK377" s="50"/>
      <c r="LZL377" s="50"/>
      <c r="LZM377" s="50"/>
      <c r="LZN377" s="50"/>
      <c r="LZO377" s="50"/>
      <c r="LZP377" s="50"/>
      <c r="LZQ377" s="50"/>
      <c r="LZR377" s="50"/>
      <c r="LZS377" s="50"/>
      <c r="LZT377" s="50"/>
      <c r="LZU377" s="50"/>
      <c r="LZV377" s="50"/>
      <c r="LZW377" s="50"/>
      <c r="LZX377" s="50"/>
      <c r="LZY377" s="50"/>
      <c r="LZZ377" s="50"/>
      <c r="MAA377" s="50"/>
      <c r="MAB377" s="50"/>
      <c r="MAC377" s="50"/>
      <c r="MAD377" s="50"/>
      <c r="MAE377" s="50"/>
      <c r="MAF377" s="50"/>
      <c r="MAG377" s="50"/>
      <c r="MAH377" s="50"/>
      <c r="MAI377" s="50"/>
      <c r="MAJ377" s="50"/>
      <c r="MAK377" s="50"/>
      <c r="MAL377" s="50"/>
      <c r="MAM377" s="50"/>
      <c r="MAN377" s="50"/>
      <c r="MAO377" s="50"/>
      <c r="MAP377" s="50"/>
      <c r="MAQ377" s="50"/>
      <c r="MAR377" s="50"/>
      <c r="MAS377" s="50"/>
      <c r="MAT377" s="50"/>
      <c r="MAU377" s="50"/>
      <c r="MAV377" s="50"/>
      <c r="MAW377" s="50"/>
      <c r="MAX377" s="50"/>
      <c r="MAY377" s="50"/>
      <c r="MAZ377" s="50"/>
      <c r="MBA377" s="50"/>
      <c r="MBB377" s="50"/>
      <c r="MBC377" s="50"/>
      <c r="MBD377" s="50"/>
      <c r="MBE377" s="50"/>
      <c r="MBF377" s="50"/>
      <c r="MBG377" s="50"/>
      <c r="MBH377" s="50"/>
      <c r="MBI377" s="50"/>
      <c r="MBJ377" s="50"/>
      <c r="MBK377" s="50"/>
      <c r="MBL377" s="50"/>
      <c r="MBM377" s="50"/>
      <c r="MBN377" s="50"/>
      <c r="MBO377" s="50"/>
      <c r="MBP377" s="50"/>
      <c r="MBQ377" s="50"/>
      <c r="MBR377" s="50"/>
      <c r="MBS377" s="50"/>
      <c r="MBT377" s="50"/>
      <c r="MBU377" s="50"/>
      <c r="MBV377" s="50"/>
      <c r="MBW377" s="50"/>
      <c r="MBX377" s="50"/>
      <c r="MBY377" s="50"/>
      <c r="MBZ377" s="50"/>
      <c r="MCA377" s="50"/>
      <c r="MCB377" s="50"/>
      <c r="MCC377" s="50"/>
      <c r="MCD377" s="50"/>
      <c r="MCE377" s="50"/>
      <c r="MCF377" s="50"/>
      <c r="MCG377" s="50"/>
      <c r="MCH377" s="50"/>
      <c r="MCI377" s="50"/>
      <c r="MCJ377" s="50"/>
      <c r="MCK377" s="50"/>
      <c r="MCL377" s="50"/>
      <c r="MCM377" s="50"/>
      <c r="MCN377" s="50"/>
      <c r="MCO377" s="50"/>
      <c r="MCP377" s="50"/>
      <c r="MCQ377" s="50"/>
      <c r="MCR377" s="50"/>
      <c r="MCS377" s="50"/>
      <c r="MCT377" s="50"/>
      <c r="MCU377" s="50"/>
      <c r="MCV377" s="50"/>
      <c r="MCW377" s="50"/>
      <c r="MCX377" s="50"/>
      <c r="MCY377" s="50"/>
      <c r="MCZ377" s="50"/>
      <c r="MDA377" s="50"/>
      <c r="MDB377" s="50"/>
      <c r="MDC377" s="50"/>
      <c r="MDD377" s="50"/>
      <c r="MDE377" s="50"/>
      <c r="MDF377" s="50"/>
      <c r="MDG377" s="50"/>
      <c r="MDH377" s="50"/>
      <c r="MDI377" s="50"/>
      <c r="MDJ377" s="50"/>
      <c r="MDK377" s="50"/>
      <c r="MDL377" s="50"/>
      <c r="MDM377" s="50"/>
      <c r="MDN377" s="50"/>
      <c r="MDO377" s="50"/>
      <c r="MDP377" s="50"/>
      <c r="MDQ377" s="50"/>
      <c r="MDR377" s="50"/>
      <c r="MDS377" s="50"/>
      <c r="MDT377" s="50"/>
      <c r="MDU377" s="50"/>
      <c r="MDV377" s="50"/>
      <c r="MDW377" s="50"/>
      <c r="MDX377" s="50"/>
      <c r="MDY377" s="50"/>
      <c r="MDZ377" s="50"/>
      <c r="MEA377" s="50"/>
      <c r="MEB377" s="50"/>
      <c r="MEC377" s="50"/>
      <c r="MED377" s="50"/>
      <c r="MEE377" s="50"/>
      <c r="MEF377" s="50"/>
      <c r="MEG377" s="50"/>
      <c r="MEH377" s="50"/>
      <c r="MEI377" s="50"/>
      <c r="MEJ377" s="50"/>
      <c r="MEK377" s="50"/>
      <c r="MEL377" s="50"/>
      <c r="MEM377" s="50"/>
      <c r="MEN377" s="50"/>
      <c r="MEO377" s="50"/>
      <c r="MEP377" s="50"/>
      <c r="MEQ377" s="50"/>
      <c r="MER377" s="50"/>
      <c r="MES377" s="50"/>
      <c r="MET377" s="50"/>
      <c r="MEU377" s="50"/>
      <c r="MEV377" s="50"/>
      <c r="MEW377" s="50"/>
      <c r="MEX377" s="50"/>
      <c r="MEY377" s="50"/>
      <c r="MEZ377" s="50"/>
      <c r="MFA377" s="50"/>
      <c r="MFB377" s="50"/>
      <c r="MFC377" s="50"/>
      <c r="MFD377" s="50"/>
      <c r="MFE377" s="50"/>
      <c r="MFF377" s="50"/>
      <c r="MFG377" s="50"/>
      <c r="MFH377" s="50"/>
      <c r="MFI377" s="50"/>
      <c r="MFJ377" s="50"/>
      <c r="MFK377" s="50"/>
      <c r="MFL377" s="50"/>
      <c r="MFM377" s="50"/>
      <c r="MFN377" s="50"/>
      <c r="MFO377" s="50"/>
      <c r="MFP377" s="50"/>
      <c r="MFQ377" s="50"/>
      <c r="MFR377" s="50"/>
      <c r="MFS377" s="50"/>
      <c r="MFT377" s="50"/>
      <c r="MFU377" s="50"/>
      <c r="MFV377" s="50"/>
      <c r="MFW377" s="50"/>
      <c r="MFX377" s="50"/>
      <c r="MFY377" s="50"/>
      <c r="MFZ377" s="50"/>
      <c r="MGA377" s="50"/>
      <c r="MGB377" s="50"/>
      <c r="MGC377" s="50"/>
      <c r="MGD377" s="50"/>
      <c r="MGE377" s="50"/>
      <c r="MGF377" s="50"/>
      <c r="MGG377" s="50"/>
      <c r="MGH377" s="50"/>
      <c r="MGI377" s="50"/>
      <c r="MGJ377" s="50"/>
      <c r="MGK377" s="50"/>
      <c r="MGL377" s="50"/>
      <c r="MGM377" s="50"/>
      <c r="MGN377" s="50"/>
      <c r="MGO377" s="50"/>
      <c r="MGP377" s="50"/>
      <c r="MGQ377" s="50"/>
      <c r="MGR377" s="50"/>
      <c r="MGS377" s="50"/>
      <c r="MGT377" s="50"/>
      <c r="MGU377" s="50"/>
      <c r="MGV377" s="50"/>
      <c r="MGW377" s="50"/>
      <c r="MGX377" s="50"/>
      <c r="MGY377" s="50"/>
      <c r="MGZ377" s="50"/>
      <c r="MHA377" s="50"/>
      <c r="MHB377" s="50"/>
      <c r="MHC377" s="50"/>
      <c r="MHD377" s="50"/>
      <c r="MHE377" s="50"/>
      <c r="MHF377" s="50"/>
      <c r="MHG377" s="50"/>
      <c r="MHH377" s="50"/>
      <c r="MHI377" s="50"/>
      <c r="MHJ377" s="50"/>
      <c r="MHK377" s="50"/>
      <c r="MHL377" s="50"/>
      <c r="MHM377" s="50"/>
      <c r="MHN377" s="50"/>
      <c r="MHO377" s="50"/>
      <c r="MHP377" s="50"/>
      <c r="MHQ377" s="50"/>
      <c r="MHR377" s="50"/>
      <c r="MHS377" s="50"/>
      <c r="MHT377" s="50"/>
      <c r="MHU377" s="50"/>
      <c r="MHV377" s="50"/>
      <c r="MHW377" s="50"/>
      <c r="MHX377" s="50"/>
      <c r="MHY377" s="50"/>
      <c r="MHZ377" s="50"/>
      <c r="MIA377" s="50"/>
      <c r="MIB377" s="50"/>
      <c r="MIC377" s="50"/>
      <c r="MID377" s="50"/>
      <c r="MIE377" s="50"/>
      <c r="MIF377" s="50"/>
      <c r="MIG377" s="50"/>
      <c r="MIH377" s="50"/>
      <c r="MII377" s="50"/>
      <c r="MIJ377" s="50"/>
      <c r="MIK377" s="50"/>
      <c r="MIL377" s="50"/>
      <c r="MIM377" s="50"/>
      <c r="MIN377" s="50"/>
      <c r="MIO377" s="50"/>
      <c r="MIP377" s="50"/>
      <c r="MIQ377" s="50"/>
      <c r="MIR377" s="50"/>
      <c r="MIS377" s="50"/>
      <c r="MIT377" s="50"/>
      <c r="MIU377" s="50"/>
      <c r="MIV377" s="50"/>
      <c r="MIW377" s="50"/>
      <c r="MIX377" s="50"/>
      <c r="MIY377" s="50"/>
      <c r="MIZ377" s="50"/>
      <c r="MJA377" s="50"/>
      <c r="MJB377" s="50"/>
      <c r="MJC377" s="50"/>
      <c r="MJD377" s="50"/>
      <c r="MJE377" s="50"/>
      <c r="MJF377" s="50"/>
      <c r="MJG377" s="50"/>
      <c r="MJH377" s="50"/>
      <c r="MJI377" s="50"/>
      <c r="MJJ377" s="50"/>
      <c r="MJK377" s="50"/>
      <c r="MJL377" s="50"/>
      <c r="MJM377" s="50"/>
      <c r="MJN377" s="50"/>
      <c r="MJO377" s="50"/>
      <c r="MJP377" s="50"/>
      <c r="MJQ377" s="50"/>
      <c r="MJR377" s="50"/>
      <c r="MJS377" s="50"/>
      <c r="MJT377" s="50"/>
      <c r="MJU377" s="50"/>
      <c r="MJV377" s="50"/>
      <c r="MJW377" s="50"/>
      <c r="MJX377" s="50"/>
      <c r="MJY377" s="50"/>
      <c r="MJZ377" s="50"/>
      <c r="MKA377" s="50"/>
      <c r="MKB377" s="50"/>
      <c r="MKC377" s="50"/>
      <c r="MKD377" s="50"/>
      <c r="MKE377" s="50"/>
      <c r="MKF377" s="50"/>
      <c r="MKG377" s="50"/>
      <c r="MKH377" s="50"/>
      <c r="MKI377" s="50"/>
      <c r="MKJ377" s="50"/>
      <c r="MKK377" s="50"/>
      <c r="MKL377" s="50"/>
      <c r="MKM377" s="50"/>
      <c r="MKN377" s="50"/>
      <c r="MKO377" s="50"/>
      <c r="MKP377" s="50"/>
      <c r="MKQ377" s="50"/>
      <c r="MKR377" s="50"/>
      <c r="MKS377" s="50"/>
      <c r="MKT377" s="50"/>
      <c r="MKU377" s="50"/>
      <c r="MKV377" s="50"/>
      <c r="MKW377" s="50"/>
      <c r="MKX377" s="50"/>
      <c r="MKY377" s="50"/>
      <c r="MKZ377" s="50"/>
      <c r="MLA377" s="50"/>
      <c r="MLB377" s="50"/>
      <c r="MLC377" s="50"/>
      <c r="MLD377" s="50"/>
      <c r="MLE377" s="50"/>
      <c r="MLF377" s="50"/>
      <c r="MLG377" s="50"/>
      <c r="MLH377" s="50"/>
      <c r="MLI377" s="50"/>
      <c r="MLJ377" s="50"/>
      <c r="MLK377" s="50"/>
      <c r="MLL377" s="50"/>
      <c r="MLM377" s="50"/>
      <c r="MLN377" s="50"/>
      <c r="MLO377" s="50"/>
      <c r="MLP377" s="50"/>
      <c r="MLQ377" s="50"/>
      <c r="MLR377" s="50"/>
      <c r="MLS377" s="50"/>
      <c r="MLT377" s="50"/>
      <c r="MLU377" s="50"/>
      <c r="MLV377" s="50"/>
      <c r="MLW377" s="50"/>
      <c r="MLX377" s="50"/>
      <c r="MLY377" s="50"/>
      <c r="MLZ377" s="50"/>
      <c r="MMA377" s="50"/>
      <c r="MMB377" s="50"/>
      <c r="MMC377" s="50"/>
      <c r="MMD377" s="50"/>
      <c r="MME377" s="50"/>
      <c r="MMF377" s="50"/>
      <c r="MMG377" s="50"/>
      <c r="MMH377" s="50"/>
      <c r="MMI377" s="50"/>
      <c r="MMJ377" s="50"/>
      <c r="MMK377" s="50"/>
      <c r="MML377" s="50"/>
      <c r="MMM377" s="50"/>
      <c r="MMN377" s="50"/>
      <c r="MMO377" s="50"/>
      <c r="MMP377" s="50"/>
      <c r="MMQ377" s="50"/>
      <c r="MMR377" s="50"/>
      <c r="MMS377" s="50"/>
      <c r="MMT377" s="50"/>
      <c r="MMU377" s="50"/>
      <c r="MMV377" s="50"/>
      <c r="MMW377" s="50"/>
      <c r="MMX377" s="50"/>
      <c r="MMY377" s="50"/>
      <c r="MMZ377" s="50"/>
      <c r="MNA377" s="50"/>
      <c r="MNB377" s="50"/>
      <c r="MNC377" s="50"/>
      <c r="MND377" s="50"/>
      <c r="MNE377" s="50"/>
      <c r="MNF377" s="50"/>
      <c r="MNG377" s="50"/>
      <c r="MNH377" s="50"/>
      <c r="MNI377" s="50"/>
      <c r="MNJ377" s="50"/>
      <c r="MNK377" s="50"/>
      <c r="MNL377" s="50"/>
      <c r="MNM377" s="50"/>
      <c r="MNN377" s="50"/>
      <c r="MNO377" s="50"/>
      <c r="MNP377" s="50"/>
      <c r="MNQ377" s="50"/>
      <c r="MNR377" s="50"/>
      <c r="MNS377" s="50"/>
      <c r="MNT377" s="50"/>
      <c r="MNU377" s="50"/>
      <c r="MNV377" s="50"/>
      <c r="MNW377" s="50"/>
      <c r="MNX377" s="50"/>
      <c r="MNY377" s="50"/>
      <c r="MNZ377" s="50"/>
      <c r="MOA377" s="50"/>
      <c r="MOB377" s="50"/>
      <c r="MOC377" s="50"/>
      <c r="MOD377" s="50"/>
      <c r="MOE377" s="50"/>
      <c r="MOF377" s="50"/>
      <c r="MOG377" s="50"/>
      <c r="MOH377" s="50"/>
      <c r="MOI377" s="50"/>
      <c r="MOJ377" s="50"/>
      <c r="MOK377" s="50"/>
      <c r="MOL377" s="50"/>
      <c r="MOM377" s="50"/>
      <c r="MON377" s="50"/>
      <c r="MOO377" s="50"/>
      <c r="MOP377" s="50"/>
      <c r="MOQ377" s="50"/>
      <c r="MOR377" s="50"/>
      <c r="MOS377" s="50"/>
      <c r="MOT377" s="50"/>
      <c r="MOU377" s="50"/>
      <c r="MOV377" s="50"/>
      <c r="MOW377" s="50"/>
      <c r="MOX377" s="50"/>
      <c r="MOY377" s="50"/>
      <c r="MOZ377" s="50"/>
      <c r="MPA377" s="50"/>
      <c r="MPB377" s="50"/>
      <c r="MPC377" s="50"/>
      <c r="MPD377" s="50"/>
      <c r="MPE377" s="50"/>
      <c r="MPF377" s="50"/>
      <c r="MPG377" s="50"/>
      <c r="MPH377" s="50"/>
      <c r="MPI377" s="50"/>
      <c r="MPJ377" s="50"/>
      <c r="MPK377" s="50"/>
      <c r="MPL377" s="50"/>
      <c r="MPM377" s="50"/>
      <c r="MPN377" s="50"/>
      <c r="MPO377" s="50"/>
      <c r="MPP377" s="50"/>
      <c r="MPQ377" s="50"/>
      <c r="MPR377" s="50"/>
      <c r="MPS377" s="50"/>
      <c r="MPT377" s="50"/>
      <c r="MPU377" s="50"/>
      <c r="MPV377" s="50"/>
      <c r="MPW377" s="50"/>
      <c r="MPX377" s="50"/>
      <c r="MPY377" s="50"/>
      <c r="MPZ377" s="50"/>
      <c r="MQA377" s="50"/>
      <c r="MQB377" s="50"/>
      <c r="MQC377" s="50"/>
      <c r="MQD377" s="50"/>
      <c r="MQE377" s="50"/>
      <c r="MQF377" s="50"/>
      <c r="MQG377" s="50"/>
      <c r="MQH377" s="50"/>
      <c r="MQI377" s="50"/>
      <c r="MQJ377" s="50"/>
      <c r="MQK377" s="50"/>
      <c r="MQL377" s="50"/>
      <c r="MQM377" s="50"/>
      <c r="MQN377" s="50"/>
      <c r="MQO377" s="50"/>
      <c r="MQP377" s="50"/>
      <c r="MQQ377" s="50"/>
      <c r="MQR377" s="50"/>
      <c r="MQS377" s="50"/>
      <c r="MQT377" s="50"/>
      <c r="MQU377" s="50"/>
      <c r="MQV377" s="50"/>
      <c r="MQW377" s="50"/>
      <c r="MQX377" s="50"/>
      <c r="MQY377" s="50"/>
      <c r="MQZ377" s="50"/>
      <c r="MRA377" s="50"/>
      <c r="MRB377" s="50"/>
      <c r="MRC377" s="50"/>
      <c r="MRD377" s="50"/>
      <c r="MRE377" s="50"/>
      <c r="MRF377" s="50"/>
      <c r="MRG377" s="50"/>
      <c r="MRH377" s="50"/>
      <c r="MRI377" s="50"/>
      <c r="MRJ377" s="50"/>
      <c r="MRK377" s="50"/>
      <c r="MRL377" s="50"/>
      <c r="MRM377" s="50"/>
      <c r="MRN377" s="50"/>
      <c r="MRO377" s="50"/>
      <c r="MRP377" s="50"/>
      <c r="MRQ377" s="50"/>
      <c r="MRR377" s="50"/>
      <c r="MRS377" s="50"/>
      <c r="MRT377" s="50"/>
      <c r="MRU377" s="50"/>
      <c r="MRV377" s="50"/>
      <c r="MRW377" s="50"/>
      <c r="MRX377" s="50"/>
      <c r="MRY377" s="50"/>
      <c r="MRZ377" s="50"/>
      <c r="MSA377" s="50"/>
      <c r="MSB377" s="50"/>
      <c r="MSC377" s="50"/>
      <c r="MSD377" s="50"/>
      <c r="MSE377" s="50"/>
      <c r="MSF377" s="50"/>
      <c r="MSG377" s="50"/>
      <c r="MSH377" s="50"/>
      <c r="MSI377" s="50"/>
      <c r="MSJ377" s="50"/>
      <c r="MSK377" s="50"/>
      <c r="MSL377" s="50"/>
      <c r="MSM377" s="50"/>
      <c r="MSN377" s="50"/>
      <c r="MSO377" s="50"/>
      <c r="MSP377" s="50"/>
      <c r="MSQ377" s="50"/>
      <c r="MSR377" s="50"/>
      <c r="MSS377" s="50"/>
      <c r="MST377" s="50"/>
      <c r="MSU377" s="50"/>
      <c r="MSV377" s="50"/>
      <c r="MSW377" s="50"/>
      <c r="MSX377" s="50"/>
      <c r="MSY377" s="50"/>
      <c r="MSZ377" s="50"/>
      <c r="MTA377" s="50"/>
      <c r="MTB377" s="50"/>
      <c r="MTC377" s="50"/>
      <c r="MTD377" s="50"/>
      <c r="MTE377" s="50"/>
      <c r="MTF377" s="50"/>
      <c r="MTG377" s="50"/>
      <c r="MTH377" s="50"/>
      <c r="MTI377" s="50"/>
      <c r="MTJ377" s="50"/>
      <c r="MTK377" s="50"/>
      <c r="MTL377" s="50"/>
      <c r="MTM377" s="50"/>
      <c r="MTN377" s="50"/>
      <c r="MTO377" s="50"/>
      <c r="MTP377" s="50"/>
      <c r="MTQ377" s="50"/>
      <c r="MTR377" s="50"/>
      <c r="MTS377" s="50"/>
      <c r="MTT377" s="50"/>
      <c r="MTU377" s="50"/>
      <c r="MTV377" s="50"/>
      <c r="MTW377" s="50"/>
      <c r="MTX377" s="50"/>
      <c r="MTY377" s="50"/>
      <c r="MTZ377" s="50"/>
      <c r="MUA377" s="50"/>
      <c r="MUB377" s="50"/>
      <c r="MUC377" s="50"/>
      <c r="MUD377" s="50"/>
      <c r="MUE377" s="50"/>
      <c r="MUF377" s="50"/>
      <c r="MUG377" s="50"/>
      <c r="MUH377" s="50"/>
      <c r="MUI377" s="50"/>
      <c r="MUJ377" s="50"/>
      <c r="MUK377" s="50"/>
      <c r="MUL377" s="50"/>
      <c r="MUM377" s="50"/>
      <c r="MUN377" s="50"/>
      <c r="MUO377" s="50"/>
      <c r="MUP377" s="50"/>
      <c r="MUQ377" s="50"/>
      <c r="MUR377" s="50"/>
      <c r="MUS377" s="50"/>
      <c r="MUT377" s="50"/>
      <c r="MUU377" s="50"/>
      <c r="MUV377" s="50"/>
      <c r="MUW377" s="50"/>
      <c r="MUX377" s="50"/>
      <c r="MUY377" s="50"/>
      <c r="MUZ377" s="50"/>
      <c r="MVA377" s="50"/>
      <c r="MVB377" s="50"/>
      <c r="MVC377" s="50"/>
      <c r="MVD377" s="50"/>
      <c r="MVE377" s="50"/>
      <c r="MVF377" s="50"/>
      <c r="MVG377" s="50"/>
      <c r="MVH377" s="50"/>
      <c r="MVI377" s="50"/>
      <c r="MVJ377" s="50"/>
      <c r="MVK377" s="50"/>
      <c r="MVL377" s="50"/>
      <c r="MVM377" s="50"/>
      <c r="MVN377" s="50"/>
      <c r="MVO377" s="50"/>
      <c r="MVP377" s="50"/>
      <c r="MVQ377" s="50"/>
      <c r="MVR377" s="50"/>
      <c r="MVS377" s="50"/>
      <c r="MVT377" s="50"/>
      <c r="MVU377" s="50"/>
      <c r="MVV377" s="50"/>
      <c r="MVW377" s="50"/>
      <c r="MVX377" s="50"/>
      <c r="MVY377" s="50"/>
      <c r="MVZ377" s="50"/>
      <c r="MWA377" s="50"/>
      <c r="MWB377" s="50"/>
      <c r="MWC377" s="50"/>
      <c r="MWD377" s="50"/>
      <c r="MWE377" s="50"/>
      <c r="MWF377" s="50"/>
      <c r="MWG377" s="50"/>
      <c r="MWH377" s="50"/>
      <c r="MWI377" s="50"/>
      <c r="MWJ377" s="50"/>
      <c r="MWK377" s="50"/>
      <c r="MWL377" s="50"/>
      <c r="MWM377" s="50"/>
      <c r="MWN377" s="50"/>
      <c r="MWO377" s="50"/>
      <c r="MWP377" s="50"/>
      <c r="MWQ377" s="50"/>
      <c r="MWR377" s="50"/>
      <c r="MWS377" s="50"/>
      <c r="MWT377" s="50"/>
      <c r="MWU377" s="50"/>
      <c r="MWV377" s="50"/>
      <c r="MWW377" s="50"/>
      <c r="MWX377" s="50"/>
      <c r="MWY377" s="50"/>
      <c r="MWZ377" s="50"/>
      <c r="MXA377" s="50"/>
      <c r="MXB377" s="50"/>
      <c r="MXC377" s="50"/>
      <c r="MXD377" s="50"/>
      <c r="MXE377" s="50"/>
      <c r="MXF377" s="50"/>
      <c r="MXG377" s="50"/>
      <c r="MXH377" s="50"/>
      <c r="MXI377" s="50"/>
      <c r="MXJ377" s="50"/>
      <c r="MXK377" s="50"/>
      <c r="MXL377" s="50"/>
      <c r="MXM377" s="50"/>
      <c r="MXN377" s="50"/>
      <c r="MXO377" s="50"/>
      <c r="MXP377" s="50"/>
      <c r="MXQ377" s="50"/>
      <c r="MXR377" s="50"/>
      <c r="MXS377" s="50"/>
      <c r="MXT377" s="50"/>
      <c r="MXU377" s="50"/>
      <c r="MXV377" s="50"/>
      <c r="MXW377" s="50"/>
      <c r="MXX377" s="50"/>
      <c r="MXY377" s="50"/>
      <c r="MXZ377" s="50"/>
      <c r="MYA377" s="50"/>
      <c r="MYB377" s="50"/>
      <c r="MYC377" s="50"/>
      <c r="MYD377" s="50"/>
      <c r="MYE377" s="50"/>
      <c r="MYF377" s="50"/>
      <c r="MYG377" s="50"/>
      <c r="MYH377" s="50"/>
      <c r="MYI377" s="50"/>
      <c r="MYJ377" s="50"/>
      <c r="MYK377" s="50"/>
      <c r="MYL377" s="50"/>
      <c r="MYM377" s="50"/>
      <c r="MYN377" s="50"/>
      <c r="MYO377" s="50"/>
      <c r="MYP377" s="50"/>
      <c r="MYQ377" s="50"/>
      <c r="MYR377" s="50"/>
      <c r="MYS377" s="50"/>
      <c r="MYT377" s="50"/>
      <c r="MYU377" s="50"/>
      <c r="MYV377" s="50"/>
      <c r="MYW377" s="50"/>
      <c r="MYX377" s="50"/>
      <c r="MYY377" s="50"/>
      <c r="MYZ377" s="50"/>
      <c r="MZA377" s="50"/>
      <c r="MZB377" s="50"/>
      <c r="MZC377" s="50"/>
      <c r="MZD377" s="50"/>
      <c r="MZE377" s="50"/>
      <c r="MZF377" s="50"/>
      <c r="MZG377" s="50"/>
      <c r="MZH377" s="50"/>
      <c r="MZI377" s="50"/>
      <c r="MZJ377" s="50"/>
      <c r="MZK377" s="50"/>
      <c r="MZL377" s="50"/>
      <c r="MZM377" s="50"/>
      <c r="MZN377" s="50"/>
      <c r="MZO377" s="50"/>
      <c r="MZP377" s="50"/>
      <c r="MZQ377" s="50"/>
      <c r="MZR377" s="50"/>
      <c r="MZS377" s="50"/>
      <c r="MZT377" s="50"/>
      <c r="MZU377" s="50"/>
      <c r="MZV377" s="50"/>
      <c r="MZW377" s="50"/>
      <c r="MZX377" s="50"/>
      <c r="MZY377" s="50"/>
      <c r="MZZ377" s="50"/>
      <c r="NAA377" s="50"/>
      <c r="NAB377" s="50"/>
      <c r="NAC377" s="50"/>
      <c r="NAD377" s="50"/>
      <c r="NAE377" s="50"/>
      <c r="NAF377" s="50"/>
      <c r="NAG377" s="50"/>
      <c r="NAH377" s="50"/>
      <c r="NAI377" s="50"/>
      <c r="NAJ377" s="50"/>
      <c r="NAK377" s="50"/>
      <c r="NAL377" s="50"/>
      <c r="NAM377" s="50"/>
      <c r="NAN377" s="50"/>
      <c r="NAO377" s="50"/>
      <c r="NAP377" s="50"/>
      <c r="NAQ377" s="50"/>
      <c r="NAR377" s="50"/>
      <c r="NAS377" s="50"/>
      <c r="NAT377" s="50"/>
      <c r="NAU377" s="50"/>
      <c r="NAV377" s="50"/>
      <c r="NAW377" s="50"/>
      <c r="NAX377" s="50"/>
      <c r="NAY377" s="50"/>
      <c r="NAZ377" s="50"/>
      <c r="NBA377" s="50"/>
      <c r="NBB377" s="50"/>
      <c r="NBC377" s="50"/>
      <c r="NBD377" s="50"/>
      <c r="NBE377" s="50"/>
      <c r="NBF377" s="50"/>
      <c r="NBG377" s="50"/>
      <c r="NBH377" s="50"/>
      <c r="NBI377" s="50"/>
      <c r="NBJ377" s="50"/>
      <c r="NBK377" s="50"/>
      <c r="NBL377" s="50"/>
      <c r="NBM377" s="50"/>
      <c r="NBN377" s="50"/>
      <c r="NBO377" s="50"/>
      <c r="NBP377" s="50"/>
      <c r="NBQ377" s="50"/>
      <c r="NBR377" s="50"/>
      <c r="NBS377" s="50"/>
      <c r="NBT377" s="50"/>
      <c r="NBU377" s="50"/>
      <c r="NBV377" s="50"/>
      <c r="NBW377" s="50"/>
      <c r="NBX377" s="50"/>
      <c r="NBY377" s="50"/>
      <c r="NBZ377" s="50"/>
      <c r="NCA377" s="50"/>
      <c r="NCB377" s="50"/>
      <c r="NCC377" s="50"/>
      <c r="NCD377" s="50"/>
      <c r="NCE377" s="50"/>
      <c r="NCF377" s="50"/>
      <c r="NCG377" s="50"/>
      <c r="NCH377" s="50"/>
      <c r="NCI377" s="50"/>
      <c r="NCJ377" s="50"/>
      <c r="NCK377" s="50"/>
      <c r="NCL377" s="50"/>
      <c r="NCM377" s="50"/>
      <c r="NCN377" s="50"/>
      <c r="NCO377" s="50"/>
      <c r="NCP377" s="50"/>
      <c r="NCQ377" s="50"/>
      <c r="NCR377" s="50"/>
      <c r="NCS377" s="50"/>
      <c r="NCT377" s="50"/>
      <c r="NCU377" s="50"/>
      <c r="NCV377" s="50"/>
      <c r="NCW377" s="50"/>
      <c r="NCX377" s="50"/>
      <c r="NCY377" s="50"/>
      <c r="NCZ377" s="50"/>
      <c r="NDA377" s="50"/>
      <c r="NDB377" s="50"/>
      <c r="NDC377" s="50"/>
      <c r="NDD377" s="50"/>
      <c r="NDE377" s="50"/>
      <c r="NDF377" s="50"/>
      <c r="NDG377" s="50"/>
      <c r="NDH377" s="50"/>
      <c r="NDI377" s="50"/>
      <c r="NDJ377" s="50"/>
      <c r="NDK377" s="50"/>
      <c r="NDL377" s="50"/>
      <c r="NDM377" s="50"/>
      <c r="NDN377" s="50"/>
      <c r="NDO377" s="50"/>
      <c r="NDP377" s="50"/>
      <c r="NDQ377" s="50"/>
      <c r="NDR377" s="50"/>
      <c r="NDS377" s="50"/>
      <c r="NDT377" s="50"/>
      <c r="NDU377" s="50"/>
      <c r="NDV377" s="50"/>
      <c r="NDW377" s="50"/>
      <c r="NDX377" s="50"/>
      <c r="NDY377" s="50"/>
      <c r="NDZ377" s="50"/>
      <c r="NEA377" s="50"/>
      <c r="NEB377" s="50"/>
      <c r="NEC377" s="50"/>
      <c r="NED377" s="50"/>
      <c r="NEE377" s="50"/>
      <c r="NEF377" s="50"/>
      <c r="NEG377" s="50"/>
      <c r="NEH377" s="50"/>
      <c r="NEI377" s="50"/>
      <c r="NEJ377" s="50"/>
      <c r="NEK377" s="50"/>
      <c r="NEL377" s="50"/>
      <c r="NEM377" s="50"/>
      <c r="NEN377" s="50"/>
      <c r="NEO377" s="50"/>
      <c r="NEP377" s="50"/>
      <c r="NEQ377" s="50"/>
      <c r="NER377" s="50"/>
      <c r="NES377" s="50"/>
      <c r="NET377" s="50"/>
      <c r="NEU377" s="50"/>
      <c r="NEV377" s="50"/>
      <c r="NEW377" s="50"/>
      <c r="NEX377" s="50"/>
      <c r="NEY377" s="50"/>
      <c r="NEZ377" s="50"/>
      <c r="NFA377" s="50"/>
      <c r="NFB377" s="50"/>
      <c r="NFC377" s="50"/>
      <c r="NFD377" s="50"/>
      <c r="NFE377" s="50"/>
      <c r="NFF377" s="50"/>
      <c r="NFG377" s="50"/>
      <c r="NFH377" s="50"/>
      <c r="NFI377" s="50"/>
      <c r="NFJ377" s="50"/>
      <c r="NFK377" s="50"/>
      <c r="NFL377" s="50"/>
      <c r="NFM377" s="50"/>
      <c r="NFN377" s="50"/>
      <c r="NFO377" s="50"/>
      <c r="NFP377" s="50"/>
      <c r="NFQ377" s="50"/>
      <c r="NFR377" s="50"/>
      <c r="NFS377" s="50"/>
      <c r="NFT377" s="50"/>
      <c r="NFU377" s="50"/>
      <c r="NFV377" s="50"/>
      <c r="NFW377" s="50"/>
      <c r="NFX377" s="50"/>
      <c r="NFY377" s="50"/>
      <c r="NFZ377" s="50"/>
      <c r="NGA377" s="50"/>
      <c r="NGB377" s="50"/>
      <c r="NGC377" s="50"/>
      <c r="NGD377" s="50"/>
      <c r="NGE377" s="50"/>
      <c r="NGF377" s="50"/>
      <c r="NGG377" s="50"/>
      <c r="NGH377" s="50"/>
      <c r="NGI377" s="50"/>
      <c r="NGJ377" s="50"/>
      <c r="NGK377" s="50"/>
      <c r="NGL377" s="50"/>
      <c r="NGM377" s="50"/>
      <c r="NGN377" s="50"/>
      <c r="NGO377" s="50"/>
      <c r="NGP377" s="50"/>
      <c r="NGQ377" s="50"/>
      <c r="NGR377" s="50"/>
      <c r="NGS377" s="50"/>
      <c r="NGT377" s="50"/>
      <c r="NGU377" s="50"/>
      <c r="NGV377" s="50"/>
      <c r="NGW377" s="50"/>
      <c r="NGX377" s="50"/>
      <c r="NGY377" s="50"/>
      <c r="NGZ377" s="50"/>
      <c r="NHA377" s="50"/>
      <c r="NHB377" s="50"/>
      <c r="NHC377" s="50"/>
      <c r="NHD377" s="50"/>
      <c r="NHE377" s="50"/>
      <c r="NHF377" s="50"/>
      <c r="NHG377" s="50"/>
      <c r="NHH377" s="50"/>
      <c r="NHI377" s="50"/>
      <c r="NHJ377" s="50"/>
      <c r="NHK377" s="50"/>
      <c r="NHL377" s="50"/>
      <c r="NHM377" s="50"/>
      <c r="NHN377" s="50"/>
      <c r="NHO377" s="50"/>
      <c r="NHP377" s="50"/>
      <c r="NHQ377" s="50"/>
      <c r="NHR377" s="50"/>
      <c r="NHS377" s="50"/>
      <c r="NHT377" s="50"/>
      <c r="NHU377" s="50"/>
      <c r="NHV377" s="50"/>
      <c r="NHW377" s="50"/>
      <c r="NHX377" s="50"/>
      <c r="NHY377" s="50"/>
      <c r="NHZ377" s="50"/>
      <c r="NIA377" s="50"/>
      <c r="NIB377" s="50"/>
      <c r="NIC377" s="50"/>
      <c r="NID377" s="50"/>
      <c r="NIE377" s="50"/>
      <c r="NIF377" s="50"/>
      <c r="NIG377" s="50"/>
      <c r="NIH377" s="50"/>
      <c r="NII377" s="50"/>
      <c r="NIJ377" s="50"/>
      <c r="NIK377" s="50"/>
      <c r="NIL377" s="50"/>
      <c r="NIM377" s="50"/>
      <c r="NIN377" s="50"/>
      <c r="NIO377" s="50"/>
      <c r="NIP377" s="50"/>
      <c r="NIQ377" s="50"/>
      <c r="NIR377" s="50"/>
      <c r="NIS377" s="50"/>
      <c r="NIT377" s="50"/>
      <c r="NIU377" s="50"/>
      <c r="NIV377" s="50"/>
      <c r="NIW377" s="50"/>
      <c r="NIX377" s="50"/>
      <c r="NIY377" s="50"/>
      <c r="NIZ377" s="50"/>
      <c r="NJA377" s="50"/>
      <c r="NJB377" s="50"/>
      <c r="NJC377" s="50"/>
      <c r="NJD377" s="50"/>
      <c r="NJE377" s="50"/>
      <c r="NJF377" s="50"/>
      <c r="NJG377" s="50"/>
      <c r="NJH377" s="50"/>
      <c r="NJI377" s="50"/>
      <c r="NJJ377" s="50"/>
      <c r="NJK377" s="50"/>
      <c r="NJL377" s="50"/>
      <c r="NJM377" s="50"/>
      <c r="NJN377" s="50"/>
      <c r="NJO377" s="50"/>
      <c r="NJP377" s="50"/>
      <c r="NJQ377" s="50"/>
      <c r="NJR377" s="50"/>
      <c r="NJS377" s="50"/>
      <c r="NJT377" s="50"/>
      <c r="NJU377" s="50"/>
      <c r="NJV377" s="50"/>
      <c r="NJW377" s="50"/>
      <c r="NJX377" s="50"/>
      <c r="NJY377" s="50"/>
      <c r="NJZ377" s="50"/>
      <c r="NKA377" s="50"/>
      <c r="NKB377" s="50"/>
      <c r="NKC377" s="50"/>
      <c r="NKD377" s="50"/>
      <c r="NKE377" s="50"/>
      <c r="NKF377" s="50"/>
      <c r="NKG377" s="50"/>
      <c r="NKH377" s="50"/>
      <c r="NKI377" s="50"/>
      <c r="NKJ377" s="50"/>
      <c r="NKK377" s="50"/>
      <c r="NKL377" s="50"/>
      <c r="NKM377" s="50"/>
      <c r="NKN377" s="50"/>
      <c r="NKO377" s="50"/>
      <c r="NKP377" s="50"/>
      <c r="NKQ377" s="50"/>
      <c r="NKR377" s="50"/>
      <c r="NKS377" s="50"/>
      <c r="NKT377" s="50"/>
      <c r="NKU377" s="50"/>
      <c r="NKV377" s="50"/>
      <c r="NKW377" s="50"/>
      <c r="NKX377" s="50"/>
      <c r="NKY377" s="50"/>
      <c r="NKZ377" s="50"/>
      <c r="NLA377" s="50"/>
      <c r="NLB377" s="50"/>
      <c r="NLC377" s="50"/>
      <c r="NLD377" s="50"/>
      <c r="NLE377" s="50"/>
      <c r="NLF377" s="50"/>
      <c r="NLG377" s="50"/>
      <c r="NLH377" s="50"/>
      <c r="NLI377" s="50"/>
      <c r="NLJ377" s="50"/>
      <c r="NLK377" s="50"/>
      <c r="NLL377" s="50"/>
      <c r="NLM377" s="50"/>
      <c r="NLN377" s="50"/>
      <c r="NLO377" s="50"/>
      <c r="NLP377" s="50"/>
      <c r="NLQ377" s="50"/>
      <c r="NLR377" s="50"/>
      <c r="NLS377" s="50"/>
      <c r="NLT377" s="50"/>
      <c r="NLU377" s="50"/>
      <c r="NLV377" s="50"/>
      <c r="NLW377" s="50"/>
      <c r="NLX377" s="50"/>
      <c r="NLY377" s="50"/>
      <c r="NLZ377" s="50"/>
      <c r="NMA377" s="50"/>
      <c r="NMB377" s="50"/>
      <c r="NMC377" s="50"/>
      <c r="NMD377" s="50"/>
      <c r="NME377" s="50"/>
      <c r="NMF377" s="50"/>
      <c r="NMG377" s="50"/>
      <c r="NMH377" s="50"/>
      <c r="NMI377" s="50"/>
      <c r="NMJ377" s="50"/>
      <c r="NMK377" s="50"/>
      <c r="NML377" s="50"/>
      <c r="NMM377" s="50"/>
      <c r="NMN377" s="50"/>
      <c r="NMO377" s="50"/>
      <c r="NMP377" s="50"/>
      <c r="NMQ377" s="50"/>
      <c r="NMR377" s="50"/>
      <c r="NMS377" s="50"/>
      <c r="NMT377" s="50"/>
      <c r="NMU377" s="50"/>
      <c r="NMV377" s="50"/>
      <c r="NMW377" s="50"/>
      <c r="NMX377" s="50"/>
      <c r="NMY377" s="50"/>
      <c r="NMZ377" s="50"/>
      <c r="NNA377" s="50"/>
      <c r="NNB377" s="50"/>
      <c r="NNC377" s="50"/>
      <c r="NND377" s="50"/>
      <c r="NNE377" s="50"/>
      <c r="NNF377" s="50"/>
      <c r="NNG377" s="50"/>
      <c r="NNH377" s="50"/>
      <c r="NNI377" s="50"/>
      <c r="NNJ377" s="50"/>
      <c r="NNK377" s="50"/>
      <c r="NNL377" s="50"/>
      <c r="NNM377" s="50"/>
      <c r="NNN377" s="50"/>
      <c r="NNO377" s="50"/>
      <c r="NNP377" s="50"/>
      <c r="NNQ377" s="50"/>
      <c r="NNR377" s="50"/>
      <c r="NNS377" s="50"/>
      <c r="NNT377" s="50"/>
      <c r="NNU377" s="50"/>
      <c r="NNV377" s="50"/>
      <c r="NNW377" s="50"/>
      <c r="NNX377" s="50"/>
      <c r="NNY377" s="50"/>
      <c r="NNZ377" s="50"/>
      <c r="NOA377" s="50"/>
      <c r="NOB377" s="50"/>
      <c r="NOC377" s="50"/>
      <c r="NOD377" s="50"/>
      <c r="NOE377" s="50"/>
      <c r="NOF377" s="50"/>
      <c r="NOG377" s="50"/>
      <c r="NOH377" s="50"/>
      <c r="NOI377" s="50"/>
      <c r="NOJ377" s="50"/>
      <c r="NOK377" s="50"/>
      <c r="NOL377" s="50"/>
      <c r="NOM377" s="50"/>
      <c r="NON377" s="50"/>
      <c r="NOO377" s="50"/>
      <c r="NOP377" s="50"/>
      <c r="NOQ377" s="50"/>
      <c r="NOR377" s="50"/>
      <c r="NOS377" s="50"/>
      <c r="NOT377" s="50"/>
      <c r="NOU377" s="50"/>
      <c r="NOV377" s="50"/>
      <c r="NOW377" s="50"/>
      <c r="NOX377" s="50"/>
      <c r="NOY377" s="50"/>
      <c r="NOZ377" s="50"/>
      <c r="NPA377" s="50"/>
      <c r="NPB377" s="50"/>
      <c r="NPC377" s="50"/>
      <c r="NPD377" s="50"/>
      <c r="NPE377" s="50"/>
      <c r="NPF377" s="50"/>
      <c r="NPG377" s="50"/>
      <c r="NPH377" s="50"/>
      <c r="NPI377" s="50"/>
      <c r="NPJ377" s="50"/>
      <c r="NPK377" s="50"/>
      <c r="NPL377" s="50"/>
      <c r="NPM377" s="50"/>
      <c r="NPN377" s="50"/>
      <c r="NPO377" s="50"/>
      <c r="NPP377" s="50"/>
      <c r="NPQ377" s="50"/>
      <c r="NPR377" s="50"/>
      <c r="NPS377" s="50"/>
      <c r="NPT377" s="50"/>
      <c r="NPU377" s="50"/>
      <c r="NPV377" s="50"/>
      <c r="NPW377" s="50"/>
      <c r="NPX377" s="50"/>
      <c r="NPY377" s="50"/>
      <c r="NPZ377" s="50"/>
      <c r="NQA377" s="50"/>
      <c r="NQB377" s="50"/>
      <c r="NQC377" s="50"/>
      <c r="NQD377" s="50"/>
      <c r="NQE377" s="50"/>
      <c r="NQF377" s="50"/>
      <c r="NQG377" s="50"/>
      <c r="NQH377" s="50"/>
      <c r="NQI377" s="50"/>
      <c r="NQJ377" s="50"/>
      <c r="NQK377" s="50"/>
      <c r="NQL377" s="50"/>
      <c r="NQM377" s="50"/>
      <c r="NQN377" s="50"/>
      <c r="NQO377" s="50"/>
      <c r="NQP377" s="50"/>
      <c r="NQQ377" s="50"/>
      <c r="NQR377" s="50"/>
      <c r="NQS377" s="50"/>
      <c r="NQT377" s="50"/>
      <c r="NQU377" s="50"/>
      <c r="NQV377" s="50"/>
      <c r="NQW377" s="50"/>
      <c r="NQX377" s="50"/>
      <c r="NQY377" s="50"/>
      <c r="NQZ377" s="50"/>
      <c r="NRA377" s="50"/>
      <c r="NRB377" s="50"/>
      <c r="NRC377" s="50"/>
      <c r="NRD377" s="50"/>
      <c r="NRE377" s="50"/>
      <c r="NRF377" s="50"/>
      <c r="NRG377" s="50"/>
      <c r="NRH377" s="50"/>
      <c r="NRI377" s="50"/>
      <c r="NRJ377" s="50"/>
      <c r="NRK377" s="50"/>
      <c r="NRL377" s="50"/>
      <c r="NRM377" s="50"/>
      <c r="NRN377" s="50"/>
      <c r="NRO377" s="50"/>
      <c r="NRP377" s="50"/>
      <c r="NRQ377" s="50"/>
      <c r="NRR377" s="50"/>
      <c r="NRS377" s="50"/>
      <c r="NRT377" s="50"/>
      <c r="NRU377" s="50"/>
      <c r="NRV377" s="50"/>
      <c r="NRW377" s="50"/>
      <c r="NRX377" s="50"/>
      <c r="NRY377" s="50"/>
      <c r="NRZ377" s="50"/>
      <c r="NSA377" s="50"/>
      <c r="NSB377" s="50"/>
      <c r="NSC377" s="50"/>
      <c r="NSD377" s="50"/>
      <c r="NSE377" s="50"/>
      <c r="NSF377" s="50"/>
      <c r="NSG377" s="50"/>
      <c r="NSH377" s="50"/>
      <c r="NSI377" s="50"/>
      <c r="NSJ377" s="50"/>
      <c r="NSK377" s="50"/>
      <c r="NSL377" s="50"/>
      <c r="NSM377" s="50"/>
      <c r="NSN377" s="50"/>
      <c r="NSO377" s="50"/>
      <c r="NSP377" s="50"/>
      <c r="NSQ377" s="50"/>
      <c r="NSR377" s="50"/>
      <c r="NSS377" s="50"/>
      <c r="NST377" s="50"/>
      <c r="NSU377" s="50"/>
      <c r="NSV377" s="50"/>
      <c r="NSW377" s="50"/>
      <c r="NSX377" s="50"/>
      <c r="NSY377" s="50"/>
      <c r="NSZ377" s="50"/>
      <c r="NTA377" s="50"/>
      <c r="NTB377" s="50"/>
      <c r="NTC377" s="50"/>
      <c r="NTD377" s="50"/>
      <c r="NTE377" s="50"/>
      <c r="NTF377" s="50"/>
      <c r="NTG377" s="50"/>
      <c r="NTH377" s="50"/>
      <c r="NTI377" s="50"/>
      <c r="NTJ377" s="50"/>
      <c r="NTK377" s="50"/>
      <c r="NTL377" s="50"/>
      <c r="NTM377" s="50"/>
      <c r="NTN377" s="50"/>
      <c r="NTO377" s="50"/>
      <c r="NTP377" s="50"/>
      <c r="NTQ377" s="50"/>
      <c r="NTR377" s="50"/>
      <c r="NTS377" s="50"/>
      <c r="NTT377" s="50"/>
      <c r="NTU377" s="50"/>
      <c r="NTV377" s="50"/>
      <c r="NTW377" s="50"/>
      <c r="NTX377" s="50"/>
      <c r="NTY377" s="50"/>
      <c r="NTZ377" s="50"/>
      <c r="NUA377" s="50"/>
      <c r="NUB377" s="50"/>
      <c r="NUC377" s="50"/>
      <c r="NUD377" s="50"/>
      <c r="NUE377" s="50"/>
      <c r="NUF377" s="50"/>
      <c r="NUG377" s="50"/>
      <c r="NUH377" s="50"/>
      <c r="NUI377" s="50"/>
      <c r="NUJ377" s="50"/>
      <c r="NUK377" s="50"/>
      <c r="NUL377" s="50"/>
      <c r="NUM377" s="50"/>
      <c r="NUN377" s="50"/>
      <c r="NUO377" s="50"/>
      <c r="NUP377" s="50"/>
      <c r="NUQ377" s="50"/>
      <c r="NUR377" s="50"/>
      <c r="NUS377" s="50"/>
      <c r="NUT377" s="50"/>
      <c r="NUU377" s="50"/>
      <c r="NUV377" s="50"/>
      <c r="NUW377" s="50"/>
      <c r="NUX377" s="50"/>
      <c r="NUY377" s="50"/>
      <c r="NUZ377" s="50"/>
      <c r="NVA377" s="50"/>
      <c r="NVB377" s="50"/>
      <c r="NVC377" s="50"/>
      <c r="NVD377" s="50"/>
      <c r="NVE377" s="50"/>
      <c r="NVF377" s="50"/>
      <c r="NVG377" s="50"/>
      <c r="NVH377" s="50"/>
      <c r="NVI377" s="50"/>
      <c r="NVJ377" s="50"/>
      <c r="NVK377" s="50"/>
      <c r="NVL377" s="50"/>
      <c r="NVM377" s="50"/>
      <c r="NVN377" s="50"/>
      <c r="NVO377" s="50"/>
      <c r="NVP377" s="50"/>
      <c r="NVQ377" s="50"/>
      <c r="NVR377" s="50"/>
      <c r="NVS377" s="50"/>
      <c r="NVT377" s="50"/>
      <c r="NVU377" s="50"/>
      <c r="NVV377" s="50"/>
      <c r="NVW377" s="50"/>
      <c r="NVX377" s="50"/>
      <c r="NVY377" s="50"/>
      <c r="NVZ377" s="50"/>
      <c r="NWA377" s="50"/>
      <c r="NWB377" s="50"/>
      <c r="NWC377" s="50"/>
      <c r="NWD377" s="50"/>
      <c r="NWE377" s="50"/>
      <c r="NWF377" s="50"/>
      <c r="NWG377" s="50"/>
      <c r="NWH377" s="50"/>
      <c r="NWI377" s="50"/>
      <c r="NWJ377" s="50"/>
      <c r="NWK377" s="50"/>
      <c r="NWL377" s="50"/>
      <c r="NWM377" s="50"/>
      <c r="NWN377" s="50"/>
      <c r="NWO377" s="50"/>
      <c r="NWP377" s="50"/>
      <c r="NWQ377" s="50"/>
      <c r="NWR377" s="50"/>
      <c r="NWS377" s="50"/>
      <c r="NWT377" s="50"/>
      <c r="NWU377" s="50"/>
      <c r="NWV377" s="50"/>
      <c r="NWW377" s="50"/>
      <c r="NWX377" s="50"/>
      <c r="NWY377" s="50"/>
      <c r="NWZ377" s="50"/>
      <c r="NXA377" s="50"/>
      <c r="NXB377" s="50"/>
      <c r="NXC377" s="50"/>
      <c r="NXD377" s="50"/>
      <c r="NXE377" s="50"/>
      <c r="NXF377" s="50"/>
      <c r="NXG377" s="50"/>
      <c r="NXH377" s="50"/>
      <c r="NXI377" s="50"/>
      <c r="NXJ377" s="50"/>
      <c r="NXK377" s="50"/>
      <c r="NXL377" s="50"/>
      <c r="NXM377" s="50"/>
      <c r="NXN377" s="50"/>
      <c r="NXO377" s="50"/>
      <c r="NXP377" s="50"/>
      <c r="NXQ377" s="50"/>
      <c r="NXR377" s="50"/>
      <c r="NXS377" s="50"/>
      <c r="NXT377" s="50"/>
      <c r="NXU377" s="50"/>
      <c r="NXV377" s="50"/>
      <c r="NXW377" s="50"/>
      <c r="NXX377" s="50"/>
      <c r="NXY377" s="50"/>
      <c r="NXZ377" s="50"/>
      <c r="NYA377" s="50"/>
      <c r="NYB377" s="50"/>
      <c r="NYC377" s="50"/>
      <c r="NYD377" s="50"/>
      <c r="NYE377" s="50"/>
      <c r="NYF377" s="50"/>
      <c r="NYG377" s="50"/>
      <c r="NYH377" s="50"/>
      <c r="NYI377" s="50"/>
      <c r="NYJ377" s="50"/>
      <c r="NYK377" s="50"/>
      <c r="NYL377" s="50"/>
      <c r="NYM377" s="50"/>
      <c r="NYN377" s="50"/>
      <c r="NYO377" s="50"/>
      <c r="NYP377" s="50"/>
      <c r="NYQ377" s="50"/>
      <c r="NYR377" s="50"/>
      <c r="NYS377" s="50"/>
      <c r="NYT377" s="50"/>
      <c r="NYU377" s="50"/>
      <c r="NYV377" s="50"/>
      <c r="NYW377" s="50"/>
      <c r="NYX377" s="50"/>
      <c r="NYY377" s="50"/>
      <c r="NYZ377" s="50"/>
      <c r="NZA377" s="50"/>
      <c r="NZB377" s="50"/>
      <c r="NZC377" s="50"/>
      <c r="NZD377" s="50"/>
      <c r="NZE377" s="50"/>
      <c r="NZF377" s="50"/>
      <c r="NZG377" s="50"/>
      <c r="NZH377" s="50"/>
      <c r="NZI377" s="50"/>
      <c r="NZJ377" s="50"/>
      <c r="NZK377" s="50"/>
      <c r="NZL377" s="50"/>
      <c r="NZM377" s="50"/>
      <c r="NZN377" s="50"/>
      <c r="NZO377" s="50"/>
      <c r="NZP377" s="50"/>
      <c r="NZQ377" s="50"/>
      <c r="NZR377" s="50"/>
      <c r="NZS377" s="50"/>
      <c r="NZT377" s="50"/>
      <c r="NZU377" s="50"/>
      <c r="NZV377" s="50"/>
      <c r="NZW377" s="50"/>
      <c r="NZX377" s="50"/>
      <c r="NZY377" s="50"/>
      <c r="NZZ377" s="50"/>
      <c r="OAA377" s="50"/>
      <c r="OAB377" s="50"/>
      <c r="OAC377" s="50"/>
      <c r="OAD377" s="50"/>
      <c r="OAE377" s="50"/>
      <c r="OAF377" s="50"/>
      <c r="OAG377" s="50"/>
      <c r="OAH377" s="50"/>
      <c r="OAI377" s="50"/>
      <c r="OAJ377" s="50"/>
      <c r="OAK377" s="50"/>
      <c r="OAL377" s="50"/>
      <c r="OAM377" s="50"/>
      <c r="OAN377" s="50"/>
      <c r="OAO377" s="50"/>
      <c r="OAP377" s="50"/>
      <c r="OAQ377" s="50"/>
      <c r="OAR377" s="50"/>
      <c r="OAS377" s="50"/>
      <c r="OAT377" s="50"/>
      <c r="OAU377" s="50"/>
      <c r="OAV377" s="50"/>
      <c r="OAW377" s="50"/>
      <c r="OAX377" s="50"/>
      <c r="OAY377" s="50"/>
      <c r="OAZ377" s="50"/>
      <c r="OBA377" s="50"/>
      <c r="OBB377" s="50"/>
      <c r="OBC377" s="50"/>
      <c r="OBD377" s="50"/>
      <c r="OBE377" s="50"/>
      <c r="OBF377" s="50"/>
      <c r="OBG377" s="50"/>
      <c r="OBH377" s="50"/>
      <c r="OBI377" s="50"/>
      <c r="OBJ377" s="50"/>
      <c r="OBK377" s="50"/>
      <c r="OBL377" s="50"/>
      <c r="OBM377" s="50"/>
      <c r="OBN377" s="50"/>
      <c r="OBO377" s="50"/>
      <c r="OBP377" s="50"/>
      <c r="OBQ377" s="50"/>
      <c r="OBR377" s="50"/>
      <c r="OBS377" s="50"/>
      <c r="OBT377" s="50"/>
      <c r="OBU377" s="50"/>
      <c r="OBV377" s="50"/>
      <c r="OBW377" s="50"/>
      <c r="OBX377" s="50"/>
      <c r="OBY377" s="50"/>
      <c r="OBZ377" s="50"/>
      <c r="OCA377" s="50"/>
      <c r="OCB377" s="50"/>
      <c r="OCC377" s="50"/>
      <c r="OCD377" s="50"/>
      <c r="OCE377" s="50"/>
      <c r="OCF377" s="50"/>
      <c r="OCG377" s="50"/>
      <c r="OCH377" s="50"/>
      <c r="OCI377" s="50"/>
      <c r="OCJ377" s="50"/>
      <c r="OCK377" s="50"/>
      <c r="OCL377" s="50"/>
      <c r="OCM377" s="50"/>
      <c r="OCN377" s="50"/>
      <c r="OCO377" s="50"/>
      <c r="OCP377" s="50"/>
      <c r="OCQ377" s="50"/>
      <c r="OCR377" s="50"/>
      <c r="OCS377" s="50"/>
      <c r="OCT377" s="50"/>
      <c r="OCU377" s="50"/>
      <c r="OCV377" s="50"/>
      <c r="OCW377" s="50"/>
      <c r="OCX377" s="50"/>
      <c r="OCY377" s="50"/>
      <c r="OCZ377" s="50"/>
      <c r="ODA377" s="50"/>
      <c r="ODB377" s="50"/>
      <c r="ODC377" s="50"/>
      <c r="ODD377" s="50"/>
      <c r="ODE377" s="50"/>
      <c r="ODF377" s="50"/>
      <c r="ODG377" s="50"/>
      <c r="ODH377" s="50"/>
      <c r="ODI377" s="50"/>
      <c r="ODJ377" s="50"/>
      <c r="ODK377" s="50"/>
      <c r="ODL377" s="50"/>
      <c r="ODM377" s="50"/>
      <c r="ODN377" s="50"/>
      <c r="ODO377" s="50"/>
      <c r="ODP377" s="50"/>
      <c r="ODQ377" s="50"/>
      <c r="ODR377" s="50"/>
      <c r="ODS377" s="50"/>
      <c r="ODT377" s="50"/>
      <c r="ODU377" s="50"/>
      <c r="ODV377" s="50"/>
      <c r="ODW377" s="50"/>
      <c r="ODX377" s="50"/>
      <c r="ODY377" s="50"/>
      <c r="ODZ377" s="50"/>
      <c r="OEA377" s="50"/>
      <c r="OEB377" s="50"/>
      <c r="OEC377" s="50"/>
      <c r="OED377" s="50"/>
      <c r="OEE377" s="50"/>
      <c r="OEF377" s="50"/>
      <c r="OEG377" s="50"/>
      <c r="OEH377" s="50"/>
      <c r="OEI377" s="50"/>
      <c r="OEJ377" s="50"/>
      <c r="OEK377" s="50"/>
      <c r="OEL377" s="50"/>
      <c r="OEM377" s="50"/>
      <c r="OEN377" s="50"/>
      <c r="OEO377" s="50"/>
      <c r="OEP377" s="50"/>
      <c r="OEQ377" s="50"/>
      <c r="OER377" s="50"/>
      <c r="OES377" s="50"/>
      <c r="OET377" s="50"/>
      <c r="OEU377" s="50"/>
      <c r="OEV377" s="50"/>
      <c r="OEW377" s="50"/>
      <c r="OEX377" s="50"/>
      <c r="OEY377" s="50"/>
      <c r="OEZ377" s="50"/>
      <c r="OFA377" s="50"/>
      <c r="OFB377" s="50"/>
      <c r="OFC377" s="50"/>
      <c r="OFD377" s="50"/>
      <c r="OFE377" s="50"/>
      <c r="OFF377" s="50"/>
      <c r="OFG377" s="50"/>
      <c r="OFH377" s="50"/>
      <c r="OFI377" s="50"/>
      <c r="OFJ377" s="50"/>
      <c r="OFK377" s="50"/>
      <c r="OFL377" s="50"/>
      <c r="OFM377" s="50"/>
      <c r="OFN377" s="50"/>
      <c r="OFO377" s="50"/>
      <c r="OFP377" s="50"/>
      <c r="OFQ377" s="50"/>
      <c r="OFR377" s="50"/>
      <c r="OFS377" s="50"/>
      <c r="OFT377" s="50"/>
      <c r="OFU377" s="50"/>
      <c r="OFV377" s="50"/>
      <c r="OFW377" s="50"/>
      <c r="OFX377" s="50"/>
      <c r="OFY377" s="50"/>
      <c r="OFZ377" s="50"/>
      <c r="OGA377" s="50"/>
      <c r="OGB377" s="50"/>
      <c r="OGC377" s="50"/>
      <c r="OGD377" s="50"/>
      <c r="OGE377" s="50"/>
      <c r="OGF377" s="50"/>
      <c r="OGG377" s="50"/>
      <c r="OGH377" s="50"/>
      <c r="OGI377" s="50"/>
      <c r="OGJ377" s="50"/>
      <c r="OGK377" s="50"/>
      <c r="OGL377" s="50"/>
      <c r="OGM377" s="50"/>
      <c r="OGN377" s="50"/>
      <c r="OGO377" s="50"/>
      <c r="OGP377" s="50"/>
      <c r="OGQ377" s="50"/>
      <c r="OGR377" s="50"/>
      <c r="OGS377" s="50"/>
      <c r="OGT377" s="50"/>
      <c r="OGU377" s="50"/>
      <c r="OGV377" s="50"/>
      <c r="OGW377" s="50"/>
      <c r="OGX377" s="50"/>
      <c r="OGY377" s="50"/>
      <c r="OGZ377" s="50"/>
      <c r="OHA377" s="50"/>
      <c r="OHB377" s="50"/>
      <c r="OHC377" s="50"/>
      <c r="OHD377" s="50"/>
      <c r="OHE377" s="50"/>
      <c r="OHF377" s="50"/>
      <c r="OHG377" s="50"/>
      <c r="OHH377" s="50"/>
      <c r="OHI377" s="50"/>
      <c r="OHJ377" s="50"/>
      <c r="OHK377" s="50"/>
      <c r="OHL377" s="50"/>
      <c r="OHM377" s="50"/>
      <c r="OHN377" s="50"/>
      <c r="OHO377" s="50"/>
      <c r="OHP377" s="50"/>
      <c r="OHQ377" s="50"/>
      <c r="OHR377" s="50"/>
      <c r="OHS377" s="50"/>
      <c r="OHT377" s="50"/>
      <c r="OHU377" s="50"/>
      <c r="OHV377" s="50"/>
      <c r="OHW377" s="50"/>
      <c r="OHX377" s="50"/>
      <c r="OHY377" s="50"/>
      <c r="OHZ377" s="50"/>
      <c r="OIA377" s="50"/>
      <c r="OIB377" s="50"/>
      <c r="OIC377" s="50"/>
      <c r="OID377" s="50"/>
      <c r="OIE377" s="50"/>
      <c r="OIF377" s="50"/>
      <c r="OIG377" s="50"/>
      <c r="OIH377" s="50"/>
      <c r="OII377" s="50"/>
      <c r="OIJ377" s="50"/>
      <c r="OIK377" s="50"/>
      <c r="OIL377" s="50"/>
      <c r="OIM377" s="50"/>
      <c r="OIN377" s="50"/>
      <c r="OIO377" s="50"/>
      <c r="OIP377" s="50"/>
      <c r="OIQ377" s="50"/>
      <c r="OIR377" s="50"/>
      <c r="OIS377" s="50"/>
      <c r="OIT377" s="50"/>
      <c r="OIU377" s="50"/>
      <c r="OIV377" s="50"/>
      <c r="OIW377" s="50"/>
      <c r="OIX377" s="50"/>
      <c r="OIY377" s="50"/>
      <c r="OIZ377" s="50"/>
      <c r="OJA377" s="50"/>
      <c r="OJB377" s="50"/>
      <c r="OJC377" s="50"/>
      <c r="OJD377" s="50"/>
      <c r="OJE377" s="50"/>
      <c r="OJF377" s="50"/>
      <c r="OJG377" s="50"/>
      <c r="OJH377" s="50"/>
      <c r="OJI377" s="50"/>
      <c r="OJJ377" s="50"/>
      <c r="OJK377" s="50"/>
      <c r="OJL377" s="50"/>
      <c r="OJM377" s="50"/>
      <c r="OJN377" s="50"/>
      <c r="OJO377" s="50"/>
      <c r="OJP377" s="50"/>
      <c r="OJQ377" s="50"/>
      <c r="OJR377" s="50"/>
      <c r="OJS377" s="50"/>
      <c r="OJT377" s="50"/>
      <c r="OJU377" s="50"/>
      <c r="OJV377" s="50"/>
      <c r="OJW377" s="50"/>
      <c r="OJX377" s="50"/>
      <c r="OJY377" s="50"/>
      <c r="OJZ377" s="50"/>
      <c r="OKA377" s="50"/>
      <c r="OKB377" s="50"/>
      <c r="OKC377" s="50"/>
      <c r="OKD377" s="50"/>
      <c r="OKE377" s="50"/>
      <c r="OKF377" s="50"/>
      <c r="OKG377" s="50"/>
      <c r="OKH377" s="50"/>
      <c r="OKI377" s="50"/>
      <c r="OKJ377" s="50"/>
      <c r="OKK377" s="50"/>
      <c r="OKL377" s="50"/>
      <c r="OKM377" s="50"/>
      <c r="OKN377" s="50"/>
      <c r="OKO377" s="50"/>
      <c r="OKP377" s="50"/>
      <c r="OKQ377" s="50"/>
      <c r="OKR377" s="50"/>
      <c r="OKS377" s="50"/>
      <c r="OKT377" s="50"/>
      <c r="OKU377" s="50"/>
      <c r="OKV377" s="50"/>
      <c r="OKW377" s="50"/>
      <c r="OKX377" s="50"/>
      <c r="OKY377" s="50"/>
      <c r="OKZ377" s="50"/>
      <c r="OLA377" s="50"/>
      <c r="OLB377" s="50"/>
      <c r="OLC377" s="50"/>
      <c r="OLD377" s="50"/>
      <c r="OLE377" s="50"/>
      <c r="OLF377" s="50"/>
      <c r="OLG377" s="50"/>
      <c r="OLH377" s="50"/>
      <c r="OLI377" s="50"/>
      <c r="OLJ377" s="50"/>
      <c r="OLK377" s="50"/>
      <c r="OLL377" s="50"/>
      <c r="OLM377" s="50"/>
      <c r="OLN377" s="50"/>
      <c r="OLO377" s="50"/>
      <c r="OLP377" s="50"/>
      <c r="OLQ377" s="50"/>
      <c r="OLR377" s="50"/>
      <c r="OLS377" s="50"/>
      <c r="OLT377" s="50"/>
      <c r="OLU377" s="50"/>
      <c r="OLV377" s="50"/>
      <c r="OLW377" s="50"/>
      <c r="OLX377" s="50"/>
      <c r="OLY377" s="50"/>
      <c r="OLZ377" s="50"/>
      <c r="OMA377" s="50"/>
      <c r="OMB377" s="50"/>
      <c r="OMC377" s="50"/>
      <c r="OMD377" s="50"/>
      <c r="OME377" s="50"/>
      <c r="OMF377" s="50"/>
      <c r="OMG377" s="50"/>
      <c r="OMH377" s="50"/>
      <c r="OMI377" s="50"/>
      <c r="OMJ377" s="50"/>
      <c r="OMK377" s="50"/>
      <c r="OML377" s="50"/>
      <c r="OMM377" s="50"/>
      <c r="OMN377" s="50"/>
      <c r="OMO377" s="50"/>
      <c r="OMP377" s="50"/>
      <c r="OMQ377" s="50"/>
      <c r="OMR377" s="50"/>
      <c r="OMS377" s="50"/>
      <c r="OMT377" s="50"/>
      <c r="OMU377" s="50"/>
      <c r="OMV377" s="50"/>
      <c r="OMW377" s="50"/>
      <c r="OMX377" s="50"/>
      <c r="OMY377" s="50"/>
      <c r="OMZ377" s="50"/>
      <c r="ONA377" s="50"/>
      <c r="ONB377" s="50"/>
      <c r="ONC377" s="50"/>
      <c r="OND377" s="50"/>
      <c r="ONE377" s="50"/>
      <c r="ONF377" s="50"/>
      <c r="ONG377" s="50"/>
      <c r="ONH377" s="50"/>
      <c r="ONI377" s="50"/>
      <c r="ONJ377" s="50"/>
      <c r="ONK377" s="50"/>
      <c r="ONL377" s="50"/>
      <c r="ONM377" s="50"/>
      <c r="ONN377" s="50"/>
      <c r="ONO377" s="50"/>
      <c r="ONP377" s="50"/>
      <c r="ONQ377" s="50"/>
      <c r="ONR377" s="50"/>
      <c r="ONS377" s="50"/>
      <c r="ONT377" s="50"/>
      <c r="ONU377" s="50"/>
      <c r="ONV377" s="50"/>
      <c r="ONW377" s="50"/>
      <c r="ONX377" s="50"/>
      <c r="ONY377" s="50"/>
      <c r="ONZ377" s="50"/>
      <c r="OOA377" s="50"/>
      <c r="OOB377" s="50"/>
      <c r="OOC377" s="50"/>
      <c r="OOD377" s="50"/>
      <c r="OOE377" s="50"/>
      <c r="OOF377" s="50"/>
      <c r="OOG377" s="50"/>
      <c r="OOH377" s="50"/>
      <c r="OOI377" s="50"/>
      <c r="OOJ377" s="50"/>
      <c r="OOK377" s="50"/>
      <c r="OOL377" s="50"/>
      <c r="OOM377" s="50"/>
      <c r="OON377" s="50"/>
      <c r="OOO377" s="50"/>
      <c r="OOP377" s="50"/>
      <c r="OOQ377" s="50"/>
      <c r="OOR377" s="50"/>
      <c r="OOS377" s="50"/>
      <c r="OOT377" s="50"/>
      <c r="OOU377" s="50"/>
      <c r="OOV377" s="50"/>
      <c r="OOW377" s="50"/>
      <c r="OOX377" s="50"/>
      <c r="OOY377" s="50"/>
      <c r="OOZ377" s="50"/>
      <c r="OPA377" s="50"/>
      <c r="OPB377" s="50"/>
      <c r="OPC377" s="50"/>
      <c r="OPD377" s="50"/>
      <c r="OPE377" s="50"/>
      <c r="OPF377" s="50"/>
      <c r="OPG377" s="50"/>
      <c r="OPH377" s="50"/>
      <c r="OPI377" s="50"/>
      <c r="OPJ377" s="50"/>
      <c r="OPK377" s="50"/>
      <c r="OPL377" s="50"/>
      <c r="OPM377" s="50"/>
      <c r="OPN377" s="50"/>
      <c r="OPO377" s="50"/>
      <c r="OPP377" s="50"/>
      <c r="OPQ377" s="50"/>
      <c r="OPR377" s="50"/>
      <c r="OPS377" s="50"/>
      <c r="OPT377" s="50"/>
      <c r="OPU377" s="50"/>
      <c r="OPV377" s="50"/>
      <c r="OPW377" s="50"/>
      <c r="OPX377" s="50"/>
      <c r="OPY377" s="50"/>
      <c r="OPZ377" s="50"/>
      <c r="OQA377" s="50"/>
      <c r="OQB377" s="50"/>
      <c r="OQC377" s="50"/>
      <c r="OQD377" s="50"/>
      <c r="OQE377" s="50"/>
      <c r="OQF377" s="50"/>
      <c r="OQG377" s="50"/>
      <c r="OQH377" s="50"/>
      <c r="OQI377" s="50"/>
      <c r="OQJ377" s="50"/>
      <c r="OQK377" s="50"/>
      <c r="OQL377" s="50"/>
      <c r="OQM377" s="50"/>
      <c r="OQN377" s="50"/>
      <c r="OQO377" s="50"/>
      <c r="OQP377" s="50"/>
      <c r="OQQ377" s="50"/>
      <c r="OQR377" s="50"/>
      <c r="OQS377" s="50"/>
      <c r="OQT377" s="50"/>
      <c r="OQU377" s="50"/>
      <c r="OQV377" s="50"/>
      <c r="OQW377" s="50"/>
      <c r="OQX377" s="50"/>
      <c r="OQY377" s="50"/>
      <c r="OQZ377" s="50"/>
      <c r="ORA377" s="50"/>
      <c r="ORB377" s="50"/>
      <c r="ORC377" s="50"/>
      <c r="ORD377" s="50"/>
      <c r="ORE377" s="50"/>
      <c r="ORF377" s="50"/>
      <c r="ORG377" s="50"/>
      <c r="ORH377" s="50"/>
      <c r="ORI377" s="50"/>
      <c r="ORJ377" s="50"/>
      <c r="ORK377" s="50"/>
      <c r="ORL377" s="50"/>
      <c r="ORM377" s="50"/>
      <c r="ORN377" s="50"/>
      <c r="ORO377" s="50"/>
      <c r="ORP377" s="50"/>
      <c r="ORQ377" s="50"/>
      <c r="ORR377" s="50"/>
      <c r="ORS377" s="50"/>
      <c r="ORT377" s="50"/>
      <c r="ORU377" s="50"/>
      <c r="ORV377" s="50"/>
      <c r="ORW377" s="50"/>
      <c r="ORX377" s="50"/>
      <c r="ORY377" s="50"/>
      <c r="ORZ377" s="50"/>
      <c r="OSA377" s="50"/>
      <c r="OSB377" s="50"/>
      <c r="OSC377" s="50"/>
      <c r="OSD377" s="50"/>
      <c r="OSE377" s="50"/>
      <c r="OSF377" s="50"/>
      <c r="OSG377" s="50"/>
      <c r="OSH377" s="50"/>
      <c r="OSI377" s="50"/>
      <c r="OSJ377" s="50"/>
      <c r="OSK377" s="50"/>
      <c r="OSL377" s="50"/>
      <c r="OSM377" s="50"/>
      <c r="OSN377" s="50"/>
      <c r="OSO377" s="50"/>
      <c r="OSP377" s="50"/>
      <c r="OSQ377" s="50"/>
      <c r="OSR377" s="50"/>
      <c r="OSS377" s="50"/>
      <c r="OST377" s="50"/>
      <c r="OSU377" s="50"/>
      <c r="OSV377" s="50"/>
      <c r="OSW377" s="50"/>
      <c r="OSX377" s="50"/>
      <c r="OSY377" s="50"/>
      <c r="OSZ377" s="50"/>
      <c r="OTA377" s="50"/>
      <c r="OTB377" s="50"/>
      <c r="OTC377" s="50"/>
      <c r="OTD377" s="50"/>
      <c r="OTE377" s="50"/>
      <c r="OTF377" s="50"/>
      <c r="OTG377" s="50"/>
      <c r="OTH377" s="50"/>
      <c r="OTI377" s="50"/>
      <c r="OTJ377" s="50"/>
      <c r="OTK377" s="50"/>
      <c r="OTL377" s="50"/>
      <c r="OTM377" s="50"/>
      <c r="OTN377" s="50"/>
      <c r="OTO377" s="50"/>
      <c r="OTP377" s="50"/>
      <c r="OTQ377" s="50"/>
      <c r="OTR377" s="50"/>
      <c r="OTS377" s="50"/>
      <c r="OTT377" s="50"/>
      <c r="OTU377" s="50"/>
      <c r="OTV377" s="50"/>
      <c r="OTW377" s="50"/>
      <c r="OTX377" s="50"/>
      <c r="OTY377" s="50"/>
      <c r="OTZ377" s="50"/>
      <c r="OUA377" s="50"/>
      <c r="OUB377" s="50"/>
      <c r="OUC377" s="50"/>
      <c r="OUD377" s="50"/>
      <c r="OUE377" s="50"/>
      <c r="OUF377" s="50"/>
      <c r="OUG377" s="50"/>
      <c r="OUH377" s="50"/>
      <c r="OUI377" s="50"/>
      <c r="OUJ377" s="50"/>
      <c r="OUK377" s="50"/>
      <c r="OUL377" s="50"/>
      <c r="OUM377" s="50"/>
      <c r="OUN377" s="50"/>
      <c r="OUO377" s="50"/>
      <c r="OUP377" s="50"/>
      <c r="OUQ377" s="50"/>
      <c r="OUR377" s="50"/>
      <c r="OUS377" s="50"/>
      <c r="OUT377" s="50"/>
      <c r="OUU377" s="50"/>
      <c r="OUV377" s="50"/>
      <c r="OUW377" s="50"/>
      <c r="OUX377" s="50"/>
      <c r="OUY377" s="50"/>
      <c r="OUZ377" s="50"/>
      <c r="OVA377" s="50"/>
      <c r="OVB377" s="50"/>
      <c r="OVC377" s="50"/>
      <c r="OVD377" s="50"/>
      <c r="OVE377" s="50"/>
      <c r="OVF377" s="50"/>
      <c r="OVG377" s="50"/>
      <c r="OVH377" s="50"/>
      <c r="OVI377" s="50"/>
      <c r="OVJ377" s="50"/>
      <c r="OVK377" s="50"/>
      <c r="OVL377" s="50"/>
      <c r="OVM377" s="50"/>
      <c r="OVN377" s="50"/>
      <c r="OVO377" s="50"/>
      <c r="OVP377" s="50"/>
      <c r="OVQ377" s="50"/>
      <c r="OVR377" s="50"/>
      <c r="OVS377" s="50"/>
      <c r="OVT377" s="50"/>
      <c r="OVU377" s="50"/>
      <c r="OVV377" s="50"/>
      <c r="OVW377" s="50"/>
      <c r="OVX377" s="50"/>
      <c r="OVY377" s="50"/>
      <c r="OVZ377" s="50"/>
      <c r="OWA377" s="50"/>
      <c r="OWB377" s="50"/>
      <c r="OWC377" s="50"/>
      <c r="OWD377" s="50"/>
      <c r="OWE377" s="50"/>
      <c r="OWF377" s="50"/>
      <c r="OWG377" s="50"/>
      <c r="OWH377" s="50"/>
      <c r="OWI377" s="50"/>
      <c r="OWJ377" s="50"/>
      <c r="OWK377" s="50"/>
      <c r="OWL377" s="50"/>
      <c r="OWM377" s="50"/>
      <c r="OWN377" s="50"/>
      <c r="OWO377" s="50"/>
      <c r="OWP377" s="50"/>
      <c r="OWQ377" s="50"/>
      <c r="OWR377" s="50"/>
      <c r="OWS377" s="50"/>
      <c r="OWT377" s="50"/>
      <c r="OWU377" s="50"/>
      <c r="OWV377" s="50"/>
      <c r="OWW377" s="50"/>
      <c r="OWX377" s="50"/>
      <c r="OWY377" s="50"/>
      <c r="OWZ377" s="50"/>
      <c r="OXA377" s="50"/>
      <c r="OXB377" s="50"/>
      <c r="OXC377" s="50"/>
      <c r="OXD377" s="50"/>
      <c r="OXE377" s="50"/>
      <c r="OXF377" s="50"/>
      <c r="OXG377" s="50"/>
      <c r="OXH377" s="50"/>
      <c r="OXI377" s="50"/>
      <c r="OXJ377" s="50"/>
      <c r="OXK377" s="50"/>
      <c r="OXL377" s="50"/>
      <c r="OXM377" s="50"/>
      <c r="OXN377" s="50"/>
      <c r="OXO377" s="50"/>
      <c r="OXP377" s="50"/>
      <c r="OXQ377" s="50"/>
      <c r="OXR377" s="50"/>
      <c r="OXS377" s="50"/>
      <c r="OXT377" s="50"/>
      <c r="OXU377" s="50"/>
      <c r="OXV377" s="50"/>
      <c r="OXW377" s="50"/>
      <c r="OXX377" s="50"/>
      <c r="OXY377" s="50"/>
      <c r="OXZ377" s="50"/>
      <c r="OYA377" s="50"/>
      <c r="OYB377" s="50"/>
      <c r="OYC377" s="50"/>
      <c r="OYD377" s="50"/>
      <c r="OYE377" s="50"/>
      <c r="OYF377" s="50"/>
      <c r="OYG377" s="50"/>
      <c r="OYH377" s="50"/>
      <c r="OYI377" s="50"/>
      <c r="OYJ377" s="50"/>
      <c r="OYK377" s="50"/>
      <c r="OYL377" s="50"/>
      <c r="OYM377" s="50"/>
      <c r="OYN377" s="50"/>
      <c r="OYO377" s="50"/>
      <c r="OYP377" s="50"/>
      <c r="OYQ377" s="50"/>
      <c r="OYR377" s="50"/>
      <c r="OYS377" s="50"/>
      <c r="OYT377" s="50"/>
      <c r="OYU377" s="50"/>
      <c r="OYV377" s="50"/>
      <c r="OYW377" s="50"/>
      <c r="OYX377" s="50"/>
      <c r="OYY377" s="50"/>
      <c r="OYZ377" s="50"/>
      <c r="OZA377" s="50"/>
      <c r="OZB377" s="50"/>
      <c r="OZC377" s="50"/>
      <c r="OZD377" s="50"/>
      <c r="OZE377" s="50"/>
      <c r="OZF377" s="50"/>
      <c r="OZG377" s="50"/>
      <c r="OZH377" s="50"/>
      <c r="OZI377" s="50"/>
      <c r="OZJ377" s="50"/>
      <c r="OZK377" s="50"/>
      <c r="OZL377" s="50"/>
      <c r="OZM377" s="50"/>
      <c r="OZN377" s="50"/>
      <c r="OZO377" s="50"/>
      <c r="OZP377" s="50"/>
      <c r="OZQ377" s="50"/>
      <c r="OZR377" s="50"/>
      <c r="OZS377" s="50"/>
      <c r="OZT377" s="50"/>
      <c r="OZU377" s="50"/>
      <c r="OZV377" s="50"/>
      <c r="OZW377" s="50"/>
      <c r="OZX377" s="50"/>
      <c r="OZY377" s="50"/>
      <c r="OZZ377" s="50"/>
      <c r="PAA377" s="50"/>
      <c r="PAB377" s="50"/>
      <c r="PAC377" s="50"/>
      <c r="PAD377" s="50"/>
      <c r="PAE377" s="50"/>
      <c r="PAF377" s="50"/>
      <c r="PAG377" s="50"/>
      <c r="PAH377" s="50"/>
      <c r="PAI377" s="50"/>
      <c r="PAJ377" s="50"/>
      <c r="PAK377" s="50"/>
      <c r="PAL377" s="50"/>
      <c r="PAM377" s="50"/>
      <c r="PAN377" s="50"/>
      <c r="PAO377" s="50"/>
      <c r="PAP377" s="50"/>
      <c r="PAQ377" s="50"/>
      <c r="PAR377" s="50"/>
      <c r="PAS377" s="50"/>
      <c r="PAT377" s="50"/>
      <c r="PAU377" s="50"/>
      <c r="PAV377" s="50"/>
      <c r="PAW377" s="50"/>
      <c r="PAX377" s="50"/>
      <c r="PAY377" s="50"/>
      <c r="PAZ377" s="50"/>
      <c r="PBA377" s="50"/>
      <c r="PBB377" s="50"/>
      <c r="PBC377" s="50"/>
      <c r="PBD377" s="50"/>
      <c r="PBE377" s="50"/>
      <c r="PBF377" s="50"/>
      <c r="PBG377" s="50"/>
      <c r="PBH377" s="50"/>
      <c r="PBI377" s="50"/>
      <c r="PBJ377" s="50"/>
      <c r="PBK377" s="50"/>
      <c r="PBL377" s="50"/>
      <c r="PBM377" s="50"/>
      <c r="PBN377" s="50"/>
      <c r="PBO377" s="50"/>
      <c r="PBP377" s="50"/>
      <c r="PBQ377" s="50"/>
      <c r="PBR377" s="50"/>
      <c r="PBS377" s="50"/>
      <c r="PBT377" s="50"/>
      <c r="PBU377" s="50"/>
      <c r="PBV377" s="50"/>
      <c r="PBW377" s="50"/>
      <c r="PBX377" s="50"/>
      <c r="PBY377" s="50"/>
      <c r="PBZ377" s="50"/>
      <c r="PCA377" s="50"/>
      <c r="PCB377" s="50"/>
      <c r="PCC377" s="50"/>
      <c r="PCD377" s="50"/>
      <c r="PCE377" s="50"/>
      <c r="PCF377" s="50"/>
      <c r="PCG377" s="50"/>
      <c r="PCH377" s="50"/>
      <c r="PCI377" s="50"/>
      <c r="PCJ377" s="50"/>
      <c r="PCK377" s="50"/>
      <c r="PCL377" s="50"/>
      <c r="PCM377" s="50"/>
      <c r="PCN377" s="50"/>
      <c r="PCO377" s="50"/>
      <c r="PCP377" s="50"/>
      <c r="PCQ377" s="50"/>
      <c r="PCR377" s="50"/>
      <c r="PCS377" s="50"/>
      <c r="PCT377" s="50"/>
      <c r="PCU377" s="50"/>
      <c r="PCV377" s="50"/>
      <c r="PCW377" s="50"/>
      <c r="PCX377" s="50"/>
      <c r="PCY377" s="50"/>
      <c r="PCZ377" s="50"/>
      <c r="PDA377" s="50"/>
      <c r="PDB377" s="50"/>
      <c r="PDC377" s="50"/>
      <c r="PDD377" s="50"/>
      <c r="PDE377" s="50"/>
      <c r="PDF377" s="50"/>
      <c r="PDG377" s="50"/>
      <c r="PDH377" s="50"/>
      <c r="PDI377" s="50"/>
      <c r="PDJ377" s="50"/>
      <c r="PDK377" s="50"/>
      <c r="PDL377" s="50"/>
      <c r="PDM377" s="50"/>
      <c r="PDN377" s="50"/>
      <c r="PDO377" s="50"/>
      <c r="PDP377" s="50"/>
      <c r="PDQ377" s="50"/>
      <c r="PDR377" s="50"/>
      <c r="PDS377" s="50"/>
      <c r="PDT377" s="50"/>
      <c r="PDU377" s="50"/>
      <c r="PDV377" s="50"/>
      <c r="PDW377" s="50"/>
      <c r="PDX377" s="50"/>
      <c r="PDY377" s="50"/>
      <c r="PDZ377" s="50"/>
      <c r="PEA377" s="50"/>
      <c r="PEB377" s="50"/>
      <c r="PEC377" s="50"/>
      <c r="PED377" s="50"/>
      <c r="PEE377" s="50"/>
      <c r="PEF377" s="50"/>
      <c r="PEG377" s="50"/>
      <c r="PEH377" s="50"/>
      <c r="PEI377" s="50"/>
      <c r="PEJ377" s="50"/>
      <c r="PEK377" s="50"/>
      <c r="PEL377" s="50"/>
      <c r="PEM377" s="50"/>
      <c r="PEN377" s="50"/>
      <c r="PEO377" s="50"/>
      <c r="PEP377" s="50"/>
      <c r="PEQ377" s="50"/>
      <c r="PER377" s="50"/>
      <c r="PES377" s="50"/>
      <c r="PET377" s="50"/>
      <c r="PEU377" s="50"/>
      <c r="PEV377" s="50"/>
      <c r="PEW377" s="50"/>
      <c r="PEX377" s="50"/>
      <c r="PEY377" s="50"/>
      <c r="PEZ377" s="50"/>
      <c r="PFA377" s="50"/>
      <c r="PFB377" s="50"/>
      <c r="PFC377" s="50"/>
      <c r="PFD377" s="50"/>
      <c r="PFE377" s="50"/>
      <c r="PFF377" s="50"/>
      <c r="PFG377" s="50"/>
      <c r="PFH377" s="50"/>
      <c r="PFI377" s="50"/>
      <c r="PFJ377" s="50"/>
      <c r="PFK377" s="50"/>
      <c r="PFL377" s="50"/>
      <c r="PFM377" s="50"/>
      <c r="PFN377" s="50"/>
      <c r="PFO377" s="50"/>
      <c r="PFP377" s="50"/>
      <c r="PFQ377" s="50"/>
      <c r="PFR377" s="50"/>
      <c r="PFS377" s="50"/>
      <c r="PFT377" s="50"/>
      <c r="PFU377" s="50"/>
      <c r="PFV377" s="50"/>
      <c r="PFW377" s="50"/>
      <c r="PFX377" s="50"/>
      <c r="PFY377" s="50"/>
      <c r="PFZ377" s="50"/>
      <c r="PGA377" s="50"/>
      <c r="PGB377" s="50"/>
      <c r="PGC377" s="50"/>
      <c r="PGD377" s="50"/>
      <c r="PGE377" s="50"/>
      <c r="PGF377" s="50"/>
      <c r="PGG377" s="50"/>
      <c r="PGH377" s="50"/>
      <c r="PGI377" s="50"/>
      <c r="PGJ377" s="50"/>
      <c r="PGK377" s="50"/>
      <c r="PGL377" s="50"/>
      <c r="PGM377" s="50"/>
      <c r="PGN377" s="50"/>
      <c r="PGO377" s="50"/>
      <c r="PGP377" s="50"/>
      <c r="PGQ377" s="50"/>
      <c r="PGR377" s="50"/>
      <c r="PGS377" s="50"/>
      <c r="PGT377" s="50"/>
      <c r="PGU377" s="50"/>
      <c r="PGV377" s="50"/>
      <c r="PGW377" s="50"/>
      <c r="PGX377" s="50"/>
      <c r="PGY377" s="50"/>
      <c r="PGZ377" s="50"/>
      <c r="PHA377" s="50"/>
      <c r="PHB377" s="50"/>
      <c r="PHC377" s="50"/>
      <c r="PHD377" s="50"/>
      <c r="PHE377" s="50"/>
      <c r="PHF377" s="50"/>
      <c r="PHG377" s="50"/>
      <c r="PHH377" s="50"/>
      <c r="PHI377" s="50"/>
      <c r="PHJ377" s="50"/>
      <c r="PHK377" s="50"/>
      <c r="PHL377" s="50"/>
      <c r="PHM377" s="50"/>
      <c r="PHN377" s="50"/>
      <c r="PHO377" s="50"/>
      <c r="PHP377" s="50"/>
      <c r="PHQ377" s="50"/>
      <c r="PHR377" s="50"/>
      <c r="PHS377" s="50"/>
      <c r="PHT377" s="50"/>
      <c r="PHU377" s="50"/>
      <c r="PHV377" s="50"/>
      <c r="PHW377" s="50"/>
      <c r="PHX377" s="50"/>
      <c r="PHY377" s="50"/>
      <c r="PHZ377" s="50"/>
      <c r="PIA377" s="50"/>
      <c r="PIB377" s="50"/>
      <c r="PIC377" s="50"/>
      <c r="PID377" s="50"/>
      <c r="PIE377" s="50"/>
      <c r="PIF377" s="50"/>
      <c r="PIG377" s="50"/>
      <c r="PIH377" s="50"/>
      <c r="PII377" s="50"/>
      <c r="PIJ377" s="50"/>
      <c r="PIK377" s="50"/>
      <c r="PIL377" s="50"/>
      <c r="PIM377" s="50"/>
      <c r="PIN377" s="50"/>
      <c r="PIO377" s="50"/>
      <c r="PIP377" s="50"/>
      <c r="PIQ377" s="50"/>
      <c r="PIR377" s="50"/>
      <c r="PIS377" s="50"/>
      <c r="PIT377" s="50"/>
      <c r="PIU377" s="50"/>
      <c r="PIV377" s="50"/>
      <c r="PIW377" s="50"/>
      <c r="PIX377" s="50"/>
      <c r="PIY377" s="50"/>
      <c r="PIZ377" s="50"/>
      <c r="PJA377" s="50"/>
      <c r="PJB377" s="50"/>
      <c r="PJC377" s="50"/>
      <c r="PJD377" s="50"/>
      <c r="PJE377" s="50"/>
      <c r="PJF377" s="50"/>
      <c r="PJG377" s="50"/>
      <c r="PJH377" s="50"/>
      <c r="PJI377" s="50"/>
      <c r="PJJ377" s="50"/>
      <c r="PJK377" s="50"/>
      <c r="PJL377" s="50"/>
      <c r="PJM377" s="50"/>
      <c r="PJN377" s="50"/>
      <c r="PJO377" s="50"/>
      <c r="PJP377" s="50"/>
      <c r="PJQ377" s="50"/>
      <c r="PJR377" s="50"/>
      <c r="PJS377" s="50"/>
      <c r="PJT377" s="50"/>
      <c r="PJU377" s="50"/>
      <c r="PJV377" s="50"/>
      <c r="PJW377" s="50"/>
      <c r="PJX377" s="50"/>
      <c r="PJY377" s="50"/>
      <c r="PJZ377" s="50"/>
      <c r="PKA377" s="50"/>
      <c r="PKB377" s="50"/>
      <c r="PKC377" s="50"/>
      <c r="PKD377" s="50"/>
      <c r="PKE377" s="50"/>
      <c r="PKF377" s="50"/>
      <c r="PKG377" s="50"/>
      <c r="PKH377" s="50"/>
      <c r="PKI377" s="50"/>
      <c r="PKJ377" s="50"/>
      <c r="PKK377" s="50"/>
      <c r="PKL377" s="50"/>
      <c r="PKM377" s="50"/>
      <c r="PKN377" s="50"/>
      <c r="PKO377" s="50"/>
      <c r="PKP377" s="50"/>
      <c r="PKQ377" s="50"/>
      <c r="PKR377" s="50"/>
      <c r="PKS377" s="50"/>
      <c r="PKT377" s="50"/>
      <c r="PKU377" s="50"/>
      <c r="PKV377" s="50"/>
      <c r="PKW377" s="50"/>
      <c r="PKX377" s="50"/>
      <c r="PKY377" s="50"/>
      <c r="PKZ377" s="50"/>
      <c r="PLA377" s="50"/>
      <c r="PLB377" s="50"/>
      <c r="PLC377" s="50"/>
      <c r="PLD377" s="50"/>
      <c r="PLE377" s="50"/>
      <c r="PLF377" s="50"/>
      <c r="PLG377" s="50"/>
      <c r="PLH377" s="50"/>
      <c r="PLI377" s="50"/>
      <c r="PLJ377" s="50"/>
      <c r="PLK377" s="50"/>
      <c r="PLL377" s="50"/>
      <c r="PLM377" s="50"/>
      <c r="PLN377" s="50"/>
      <c r="PLO377" s="50"/>
      <c r="PLP377" s="50"/>
      <c r="PLQ377" s="50"/>
      <c r="PLR377" s="50"/>
      <c r="PLS377" s="50"/>
      <c r="PLT377" s="50"/>
      <c r="PLU377" s="50"/>
      <c r="PLV377" s="50"/>
      <c r="PLW377" s="50"/>
      <c r="PLX377" s="50"/>
      <c r="PLY377" s="50"/>
      <c r="PLZ377" s="50"/>
      <c r="PMA377" s="50"/>
      <c r="PMB377" s="50"/>
      <c r="PMC377" s="50"/>
      <c r="PMD377" s="50"/>
      <c r="PME377" s="50"/>
      <c r="PMF377" s="50"/>
      <c r="PMG377" s="50"/>
      <c r="PMH377" s="50"/>
      <c r="PMI377" s="50"/>
      <c r="PMJ377" s="50"/>
      <c r="PMK377" s="50"/>
      <c r="PML377" s="50"/>
      <c r="PMM377" s="50"/>
      <c r="PMN377" s="50"/>
      <c r="PMO377" s="50"/>
      <c r="PMP377" s="50"/>
      <c r="PMQ377" s="50"/>
      <c r="PMR377" s="50"/>
      <c r="PMS377" s="50"/>
      <c r="PMT377" s="50"/>
      <c r="PMU377" s="50"/>
      <c r="PMV377" s="50"/>
      <c r="PMW377" s="50"/>
      <c r="PMX377" s="50"/>
      <c r="PMY377" s="50"/>
      <c r="PMZ377" s="50"/>
      <c r="PNA377" s="50"/>
      <c r="PNB377" s="50"/>
      <c r="PNC377" s="50"/>
      <c r="PND377" s="50"/>
      <c r="PNE377" s="50"/>
      <c r="PNF377" s="50"/>
      <c r="PNG377" s="50"/>
      <c r="PNH377" s="50"/>
      <c r="PNI377" s="50"/>
      <c r="PNJ377" s="50"/>
      <c r="PNK377" s="50"/>
      <c r="PNL377" s="50"/>
      <c r="PNM377" s="50"/>
      <c r="PNN377" s="50"/>
      <c r="PNO377" s="50"/>
      <c r="PNP377" s="50"/>
      <c r="PNQ377" s="50"/>
      <c r="PNR377" s="50"/>
      <c r="PNS377" s="50"/>
      <c r="PNT377" s="50"/>
      <c r="PNU377" s="50"/>
      <c r="PNV377" s="50"/>
      <c r="PNW377" s="50"/>
      <c r="PNX377" s="50"/>
      <c r="PNY377" s="50"/>
      <c r="PNZ377" s="50"/>
      <c r="POA377" s="50"/>
      <c r="POB377" s="50"/>
      <c r="POC377" s="50"/>
      <c r="POD377" s="50"/>
      <c r="POE377" s="50"/>
      <c r="POF377" s="50"/>
      <c r="POG377" s="50"/>
      <c r="POH377" s="50"/>
      <c r="POI377" s="50"/>
      <c r="POJ377" s="50"/>
      <c r="POK377" s="50"/>
      <c r="POL377" s="50"/>
      <c r="POM377" s="50"/>
      <c r="PON377" s="50"/>
      <c r="POO377" s="50"/>
      <c r="POP377" s="50"/>
      <c r="POQ377" s="50"/>
      <c r="POR377" s="50"/>
      <c r="POS377" s="50"/>
      <c r="POT377" s="50"/>
      <c r="POU377" s="50"/>
      <c r="POV377" s="50"/>
      <c r="POW377" s="50"/>
      <c r="POX377" s="50"/>
      <c r="POY377" s="50"/>
      <c r="POZ377" s="50"/>
      <c r="PPA377" s="50"/>
      <c r="PPB377" s="50"/>
      <c r="PPC377" s="50"/>
      <c r="PPD377" s="50"/>
      <c r="PPE377" s="50"/>
      <c r="PPF377" s="50"/>
      <c r="PPG377" s="50"/>
      <c r="PPH377" s="50"/>
      <c r="PPI377" s="50"/>
      <c r="PPJ377" s="50"/>
      <c r="PPK377" s="50"/>
      <c r="PPL377" s="50"/>
      <c r="PPM377" s="50"/>
      <c r="PPN377" s="50"/>
      <c r="PPO377" s="50"/>
      <c r="PPP377" s="50"/>
      <c r="PPQ377" s="50"/>
      <c r="PPR377" s="50"/>
      <c r="PPS377" s="50"/>
      <c r="PPT377" s="50"/>
      <c r="PPU377" s="50"/>
      <c r="PPV377" s="50"/>
      <c r="PPW377" s="50"/>
      <c r="PPX377" s="50"/>
      <c r="PPY377" s="50"/>
      <c r="PPZ377" s="50"/>
      <c r="PQA377" s="50"/>
      <c r="PQB377" s="50"/>
      <c r="PQC377" s="50"/>
      <c r="PQD377" s="50"/>
      <c r="PQE377" s="50"/>
      <c r="PQF377" s="50"/>
      <c r="PQG377" s="50"/>
      <c r="PQH377" s="50"/>
      <c r="PQI377" s="50"/>
      <c r="PQJ377" s="50"/>
      <c r="PQK377" s="50"/>
      <c r="PQL377" s="50"/>
      <c r="PQM377" s="50"/>
      <c r="PQN377" s="50"/>
      <c r="PQO377" s="50"/>
      <c r="PQP377" s="50"/>
      <c r="PQQ377" s="50"/>
      <c r="PQR377" s="50"/>
      <c r="PQS377" s="50"/>
      <c r="PQT377" s="50"/>
      <c r="PQU377" s="50"/>
      <c r="PQV377" s="50"/>
      <c r="PQW377" s="50"/>
      <c r="PQX377" s="50"/>
      <c r="PQY377" s="50"/>
      <c r="PQZ377" s="50"/>
      <c r="PRA377" s="50"/>
      <c r="PRB377" s="50"/>
      <c r="PRC377" s="50"/>
      <c r="PRD377" s="50"/>
      <c r="PRE377" s="50"/>
      <c r="PRF377" s="50"/>
      <c r="PRG377" s="50"/>
      <c r="PRH377" s="50"/>
      <c r="PRI377" s="50"/>
      <c r="PRJ377" s="50"/>
      <c r="PRK377" s="50"/>
      <c r="PRL377" s="50"/>
      <c r="PRM377" s="50"/>
      <c r="PRN377" s="50"/>
      <c r="PRO377" s="50"/>
      <c r="PRP377" s="50"/>
      <c r="PRQ377" s="50"/>
      <c r="PRR377" s="50"/>
      <c r="PRS377" s="50"/>
      <c r="PRT377" s="50"/>
      <c r="PRU377" s="50"/>
      <c r="PRV377" s="50"/>
      <c r="PRW377" s="50"/>
      <c r="PRX377" s="50"/>
      <c r="PRY377" s="50"/>
      <c r="PRZ377" s="50"/>
      <c r="PSA377" s="50"/>
      <c r="PSB377" s="50"/>
      <c r="PSC377" s="50"/>
      <c r="PSD377" s="50"/>
      <c r="PSE377" s="50"/>
      <c r="PSF377" s="50"/>
      <c r="PSG377" s="50"/>
      <c r="PSH377" s="50"/>
      <c r="PSI377" s="50"/>
      <c r="PSJ377" s="50"/>
      <c r="PSK377" s="50"/>
      <c r="PSL377" s="50"/>
      <c r="PSM377" s="50"/>
      <c r="PSN377" s="50"/>
      <c r="PSO377" s="50"/>
      <c r="PSP377" s="50"/>
      <c r="PSQ377" s="50"/>
      <c r="PSR377" s="50"/>
      <c r="PSS377" s="50"/>
      <c r="PST377" s="50"/>
      <c r="PSU377" s="50"/>
      <c r="PSV377" s="50"/>
      <c r="PSW377" s="50"/>
      <c r="PSX377" s="50"/>
      <c r="PSY377" s="50"/>
      <c r="PSZ377" s="50"/>
      <c r="PTA377" s="50"/>
      <c r="PTB377" s="50"/>
      <c r="PTC377" s="50"/>
      <c r="PTD377" s="50"/>
      <c r="PTE377" s="50"/>
      <c r="PTF377" s="50"/>
      <c r="PTG377" s="50"/>
      <c r="PTH377" s="50"/>
      <c r="PTI377" s="50"/>
      <c r="PTJ377" s="50"/>
      <c r="PTK377" s="50"/>
      <c r="PTL377" s="50"/>
      <c r="PTM377" s="50"/>
      <c r="PTN377" s="50"/>
      <c r="PTO377" s="50"/>
      <c r="PTP377" s="50"/>
      <c r="PTQ377" s="50"/>
      <c r="PTR377" s="50"/>
      <c r="PTS377" s="50"/>
      <c r="PTT377" s="50"/>
      <c r="PTU377" s="50"/>
      <c r="PTV377" s="50"/>
      <c r="PTW377" s="50"/>
      <c r="PTX377" s="50"/>
      <c r="PTY377" s="50"/>
      <c r="PTZ377" s="50"/>
      <c r="PUA377" s="50"/>
      <c r="PUB377" s="50"/>
      <c r="PUC377" s="50"/>
      <c r="PUD377" s="50"/>
      <c r="PUE377" s="50"/>
      <c r="PUF377" s="50"/>
      <c r="PUG377" s="50"/>
      <c r="PUH377" s="50"/>
      <c r="PUI377" s="50"/>
      <c r="PUJ377" s="50"/>
      <c r="PUK377" s="50"/>
      <c r="PUL377" s="50"/>
      <c r="PUM377" s="50"/>
      <c r="PUN377" s="50"/>
      <c r="PUO377" s="50"/>
      <c r="PUP377" s="50"/>
      <c r="PUQ377" s="50"/>
      <c r="PUR377" s="50"/>
      <c r="PUS377" s="50"/>
      <c r="PUT377" s="50"/>
      <c r="PUU377" s="50"/>
      <c r="PUV377" s="50"/>
      <c r="PUW377" s="50"/>
      <c r="PUX377" s="50"/>
      <c r="PUY377" s="50"/>
      <c r="PUZ377" s="50"/>
      <c r="PVA377" s="50"/>
      <c r="PVB377" s="50"/>
      <c r="PVC377" s="50"/>
      <c r="PVD377" s="50"/>
      <c r="PVE377" s="50"/>
      <c r="PVF377" s="50"/>
      <c r="PVG377" s="50"/>
      <c r="PVH377" s="50"/>
      <c r="PVI377" s="50"/>
      <c r="PVJ377" s="50"/>
      <c r="PVK377" s="50"/>
      <c r="PVL377" s="50"/>
      <c r="PVM377" s="50"/>
      <c r="PVN377" s="50"/>
      <c r="PVO377" s="50"/>
      <c r="PVP377" s="50"/>
      <c r="PVQ377" s="50"/>
      <c r="PVR377" s="50"/>
      <c r="PVS377" s="50"/>
      <c r="PVT377" s="50"/>
      <c r="PVU377" s="50"/>
      <c r="PVV377" s="50"/>
      <c r="PVW377" s="50"/>
      <c r="PVX377" s="50"/>
      <c r="PVY377" s="50"/>
      <c r="PVZ377" s="50"/>
      <c r="PWA377" s="50"/>
      <c r="PWB377" s="50"/>
      <c r="PWC377" s="50"/>
      <c r="PWD377" s="50"/>
      <c r="PWE377" s="50"/>
      <c r="PWF377" s="50"/>
      <c r="PWG377" s="50"/>
      <c r="PWH377" s="50"/>
      <c r="PWI377" s="50"/>
      <c r="PWJ377" s="50"/>
      <c r="PWK377" s="50"/>
      <c r="PWL377" s="50"/>
      <c r="PWM377" s="50"/>
      <c r="PWN377" s="50"/>
      <c r="PWO377" s="50"/>
      <c r="PWP377" s="50"/>
      <c r="PWQ377" s="50"/>
      <c r="PWR377" s="50"/>
      <c r="PWS377" s="50"/>
      <c r="PWT377" s="50"/>
      <c r="PWU377" s="50"/>
      <c r="PWV377" s="50"/>
      <c r="PWW377" s="50"/>
      <c r="PWX377" s="50"/>
      <c r="PWY377" s="50"/>
      <c r="PWZ377" s="50"/>
      <c r="PXA377" s="50"/>
      <c r="PXB377" s="50"/>
      <c r="PXC377" s="50"/>
      <c r="PXD377" s="50"/>
      <c r="PXE377" s="50"/>
      <c r="PXF377" s="50"/>
      <c r="PXG377" s="50"/>
      <c r="PXH377" s="50"/>
      <c r="PXI377" s="50"/>
      <c r="PXJ377" s="50"/>
      <c r="PXK377" s="50"/>
      <c r="PXL377" s="50"/>
      <c r="PXM377" s="50"/>
      <c r="PXN377" s="50"/>
      <c r="PXO377" s="50"/>
      <c r="PXP377" s="50"/>
      <c r="PXQ377" s="50"/>
      <c r="PXR377" s="50"/>
      <c r="PXS377" s="50"/>
      <c r="PXT377" s="50"/>
      <c r="PXU377" s="50"/>
      <c r="PXV377" s="50"/>
      <c r="PXW377" s="50"/>
      <c r="PXX377" s="50"/>
      <c r="PXY377" s="50"/>
      <c r="PXZ377" s="50"/>
      <c r="PYA377" s="50"/>
      <c r="PYB377" s="50"/>
      <c r="PYC377" s="50"/>
      <c r="PYD377" s="50"/>
      <c r="PYE377" s="50"/>
      <c r="PYF377" s="50"/>
      <c r="PYG377" s="50"/>
      <c r="PYH377" s="50"/>
      <c r="PYI377" s="50"/>
      <c r="PYJ377" s="50"/>
      <c r="PYK377" s="50"/>
      <c r="PYL377" s="50"/>
      <c r="PYM377" s="50"/>
      <c r="PYN377" s="50"/>
      <c r="PYO377" s="50"/>
      <c r="PYP377" s="50"/>
      <c r="PYQ377" s="50"/>
      <c r="PYR377" s="50"/>
      <c r="PYS377" s="50"/>
      <c r="PYT377" s="50"/>
      <c r="PYU377" s="50"/>
      <c r="PYV377" s="50"/>
      <c r="PYW377" s="50"/>
      <c r="PYX377" s="50"/>
      <c r="PYY377" s="50"/>
      <c r="PYZ377" s="50"/>
      <c r="PZA377" s="50"/>
      <c r="PZB377" s="50"/>
      <c r="PZC377" s="50"/>
      <c r="PZD377" s="50"/>
      <c r="PZE377" s="50"/>
      <c r="PZF377" s="50"/>
      <c r="PZG377" s="50"/>
      <c r="PZH377" s="50"/>
      <c r="PZI377" s="50"/>
      <c r="PZJ377" s="50"/>
      <c r="PZK377" s="50"/>
      <c r="PZL377" s="50"/>
      <c r="PZM377" s="50"/>
      <c r="PZN377" s="50"/>
      <c r="PZO377" s="50"/>
      <c r="PZP377" s="50"/>
      <c r="PZQ377" s="50"/>
      <c r="PZR377" s="50"/>
      <c r="PZS377" s="50"/>
      <c r="PZT377" s="50"/>
      <c r="PZU377" s="50"/>
      <c r="PZV377" s="50"/>
      <c r="PZW377" s="50"/>
      <c r="PZX377" s="50"/>
      <c r="PZY377" s="50"/>
      <c r="PZZ377" s="50"/>
      <c r="QAA377" s="50"/>
      <c r="QAB377" s="50"/>
      <c r="QAC377" s="50"/>
      <c r="QAD377" s="50"/>
      <c r="QAE377" s="50"/>
      <c r="QAF377" s="50"/>
      <c r="QAG377" s="50"/>
      <c r="QAH377" s="50"/>
      <c r="QAI377" s="50"/>
      <c r="QAJ377" s="50"/>
      <c r="QAK377" s="50"/>
      <c r="QAL377" s="50"/>
      <c r="QAM377" s="50"/>
      <c r="QAN377" s="50"/>
      <c r="QAO377" s="50"/>
      <c r="QAP377" s="50"/>
      <c r="QAQ377" s="50"/>
      <c r="QAR377" s="50"/>
      <c r="QAS377" s="50"/>
      <c r="QAT377" s="50"/>
      <c r="QAU377" s="50"/>
      <c r="QAV377" s="50"/>
      <c r="QAW377" s="50"/>
      <c r="QAX377" s="50"/>
      <c r="QAY377" s="50"/>
      <c r="QAZ377" s="50"/>
      <c r="QBA377" s="50"/>
      <c r="QBB377" s="50"/>
      <c r="QBC377" s="50"/>
      <c r="QBD377" s="50"/>
      <c r="QBE377" s="50"/>
      <c r="QBF377" s="50"/>
      <c r="QBG377" s="50"/>
      <c r="QBH377" s="50"/>
      <c r="QBI377" s="50"/>
      <c r="QBJ377" s="50"/>
      <c r="QBK377" s="50"/>
      <c r="QBL377" s="50"/>
      <c r="QBM377" s="50"/>
      <c r="QBN377" s="50"/>
      <c r="QBO377" s="50"/>
      <c r="QBP377" s="50"/>
      <c r="QBQ377" s="50"/>
      <c r="QBR377" s="50"/>
      <c r="QBS377" s="50"/>
      <c r="QBT377" s="50"/>
      <c r="QBU377" s="50"/>
      <c r="QBV377" s="50"/>
      <c r="QBW377" s="50"/>
      <c r="QBX377" s="50"/>
      <c r="QBY377" s="50"/>
      <c r="QBZ377" s="50"/>
      <c r="QCA377" s="50"/>
      <c r="QCB377" s="50"/>
      <c r="QCC377" s="50"/>
      <c r="QCD377" s="50"/>
      <c r="QCE377" s="50"/>
      <c r="QCF377" s="50"/>
      <c r="QCG377" s="50"/>
      <c r="QCH377" s="50"/>
      <c r="QCI377" s="50"/>
      <c r="QCJ377" s="50"/>
      <c r="QCK377" s="50"/>
      <c r="QCL377" s="50"/>
      <c r="QCM377" s="50"/>
      <c r="QCN377" s="50"/>
      <c r="QCO377" s="50"/>
      <c r="QCP377" s="50"/>
      <c r="QCQ377" s="50"/>
      <c r="QCR377" s="50"/>
      <c r="QCS377" s="50"/>
      <c r="QCT377" s="50"/>
      <c r="QCU377" s="50"/>
      <c r="QCV377" s="50"/>
      <c r="QCW377" s="50"/>
      <c r="QCX377" s="50"/>
      <c r="QCY377" s="50"/>
      <c r="QCZ377" s="50"/>
      <c r="QDA377" s="50"/>
      <c r="QDB377" s="50"/>
      <c r="QDC377" s="50"/>
      <c r="QDD377" s="50"/>
      <c r="QDE377" s="50"/>
      <c r="QDF377" s="50"/>
      <c r="QDG377" s="50"/>
      <c r="QDH377" s="50"/>
      <c r="QDI377" s="50"/>
      <c r="QDJ377" s="50"/>
      <c r="QDK377" s="50"/>
      <c r="QDL377" s="50"/>
      <c r="QDM377" s="50"/>
      <c r="QDN377" s="50"/>
      <c r="QDO377" s="50"/>
      <c r="QDP377" s="50"/>
      <c r="QDQ377" s="50"/>
      <c r="QDR377" s="50"/>
      <c r="QDS377" s="50"/>
      <c r="QDT377" s="50"/>
      <c r="QDU377" s="50"/>
      <c r="QDV377" s="50"/>
      <c r="QDW377" s="50"/>
      <c r="QDX377" s="50"/>
      <c r="QDY377" s="50"/>
      <c r="QDZ377" s="50"/>
      <c r="QEA377" s="50"/>
      <c r="QEB377" s="50"/>
      <c r="QEC377" s="50"/>
      <c r="QED377" s="50"/>
      <c r="QEE377" s="50"/>
      <c r="QEF377" s="50"/>
      <c r="QEG377" s="50"/>
      <c r="QEH377" s="50"/>
      <c r="QEI377" s="50"/>
      <c r="QEJ377" s="50"/>
      <c r="QEK377" s="50"/>
      <c r="QEL377" s="50"/>
      <c r="QEM377" s="50"/>
      <c r="QEN377" s="50"/>
      <c r="QEO377" s="50"/>
      <c r="QEP377" s="50"/>
      <c r="QEQ377" s="50"/>
      <c r="QER377" s="50"/>
      <c r="QES377" s="50"/>
      <c r="QET377" s="50"/>
      <c r="QEU377" s="50"/>
      <c r="QEV377" s="50"/>
      <c r="QEW377" s="50"/>
      <c r="QEX377" s="50"/>
      <c r="QEY377" s="50"/>
      <c r="QEZ377" s="50"/>
      <c r="QFA377" s="50"/>
      <c r="QFB377" s="50"/>
      <c r="QFC377" s="50"/>
      <c r="QFD377" s="50"/>
      <c r="QFE377" s="50"/>
      <c r="QFF377" s="50"/>
      <c r="QFG377" s="50"/>
      <c r="QFH377" s="50"/>
      <c r="QFI377" s="50"/>
      <c r="QFJ377" s="50"/>
      <c r="QFK377" s="50"/>
      <c r="QFL377" s="50"/>
      <c r="QFM377" s="50"/>
      <c r="QFN377" s="50"/>
      <c r="QFO377" s="50"/>
      <c r="QFP377" s="50"/>
      <c r="QFQ377" s="50"/>
      <c r="QFR377" s="50"/>
      <c r="QFS377" s="50"/>
      <c r="QFT377" s="50"/>
      <c r="QFU377" s="50"/>
      <c r="QFV377" s="50"/>
      <c r="QFW377" s="50"/>
      <c r="QFX377" s="50"/>
      <c r="QFY377" s="50"/>
      <c r="QFZ377" s="50"/>
      <c r="QGA377" s="50"/>
      <c r="QGB377" s="50"/>
      <c r="QGC377" s="50"/>
      <c r="QGD377" s="50"/>
      <c r="QGE377" s="50"/>
      <c r="QGF377" s="50"/>
      <c r="QGG377" s="50"/>
      <c r="QGH377" s="50"/>
      <c r="QGI377" s="50"/>
      <c r="QGJ377" s="50"/>
      <c r="QGK377" s="50"/>
      <c r="QGL377" s="50"/>
      <c r="QGM377" s="50"/>
      <c r="QGN377" s="50"/>
      <c r="QGO377" s="50"/>
      <c r="QGP377" s="50"/>
      <c r="QGQ377" s="50"/>
      <c r="QGR377" s="50"/>
      <c r="QGS377" s="50"/>
      <c r="QGT377" s="50"/>
      <c r="QGU377" s="50"/>
      <c r="QGV377" s="50"/>
      <c r="QGW377" s="50"/>
      <c r="QGX377" s="50"/>
      <c r="QGY377" s="50"/>
      <c r="QGZ377" s="50"/>
      <c r="QHA377" s="50"/>
      <c r="QHB377" s="50"/>
      <c r="QHC377" s="50"/>
      <c r="QHD377" s="50"/>
      <c r="QHE377" s="50"/>
      <c r="QHF377" s="50"/>
      <c r="QHG377" s="50"/>
      <c r="QHH377" s="50"/>
      <c r="QHI377" s="50"/>
      <c r="QHJ377" s="50"/>
      <c r="QHK377" s="50"/>
      <c r="QHL377" s="50"/>
      <c r="QHM377" s="50"/>
      <c r="QHN377" s="50"/>
      <c r="QHO377" s="50"/>
      <c r="QHP377" s="50"/>
      <c r="QHQ377" s="50"/>
      <c r="QHR377" s="50"/>
      <c r="QHS377" s="50"/>
      <c r="QHT377" s="50"/>
      <c r="QHU377" s="50"/>
      <c r="QHV377" s="50"/>
      <c r="QHW377" s="50"/>
      <c r="QHX377" s="50"/>
      <c r="QHY377" s="50"/>
      <c r="QHZ377" s="50"/>
      <c r="QIA377" s="50"/>
      <c r="QIB377" s="50"/>
      <c r="QIC377" s="50"/>
      <c r="QID377" s="50"/>
      <c r="QIE377" s="50"/>
      <c r="QIF377" s="50"/>
      <c r="QIG377" s="50"/>
      <c r="QIH377" s="50"/>
      <c r="QII377" s="50"/>
      <c r="QIJ377" s="50"/>
      <c r="QIK377" s="50"/>
      <c r="QIL377" s="50"/>
      <c r="QIM377" s="50"/>
      <c r="QIN377" s="50"/>
      <c r="QIO377" s="50"/>
      <c r="QIP377" s="50"/>
      <c r="QIQ377" s="50"/>
      <c r="QIR377" s="50"/>
      <c r="QIS377" s="50"/>
      <c r="QIT377" s="50"/>
      <c r="QIU377" s="50"/>
      <c r="QIV377" s="50"/>
      <c r="QIW377" s="50"/>
      <c r="QIX377" s="50"/>
      <c r="QIY377" s="50"/>
      <c r="QIZ377" s="50"/>
      <c r="QJA377" s="50"/>
      <c r="QJB377" s="50"/>
      <c r="QJC377" s="50"/>
      <c r="QJD377" s="50"/>
      <c r="QJE377" s="50"/>
      <c r="QJF377" s="50"/>
      <c r="QJG377" s="50"/>
      <c r="QJH377" s="50"/>
      <c r="QJI377" s="50"/>
      <c r="QJJ377" s="50"/>
      <c r="QJK377" s="50"/>
      <c r="QJL377" s="50"/>
      <c r="QJM377" s="50"/>
      <c r="QJN377" s="50"/>
      <c r="QJO377" s="50"/>
      <c r="QJP377" s="50"/>
      <c r="QJQ377" s="50"/>
      <c r="QJR377" s="50"/>
      <c r="QJS377" s="50"/>
      <c r="QJT377" s="50"/>
      <c r="QJU377" s="50"/>
      <c r="QJV377" s="50"/>
      <c r="QJW377" s="50"/>
      <c r="QJX377" s="50"/>
      <c r="QJY377" s="50"/>
      <c r="QJZ377" s="50"/>
      <c r="QKA377" s="50"/>
      <c r="QKB377" s="50"/>
      <c r="QKC377" s="50"/>
      <c r="QKD377" s="50"/>
      <c r="QKE377" s="50"/>
      <c r="QKF377" s="50"/>
      <c r="QKG377" s="50"/>
      <c r="QKH377" s="50"/>
      <c r="QKI377" s="50"/>
      <c r="QKJ377" s="50"/>
      <c r="QKK377" s="50"/>
      <c r="QKL377" s="50"/>
      <c r="QKM377" s="50"/>
      <c r="QKN377" s="50"/>
      <c r="QKO377" s="50"/>
      <c r="QKP377" s="50"/>
      <c r="QKQ377" s="50"/>
      <c r="QKR377" s="50"/>
      <c r="QKS377" s="50"/>
      <c r="QKT377" s="50"/>
      <c r="QKU377" s="50"/>
      <c r="QKV377" s="50"/>
      <c r="QKW377" s="50"/>
      <c r="QKX377" s="50"/>
      <c r="QKY377" s="50"/>
      <c r="QKZ377" s="50"/>
      <c r="QLA377" s="50"/>
      <c r="QLB377" s="50"/>
      <c r="QLC377" s="50"/>
      <c r="QLD377" s="50"/>
      <c r="QLE377" s="50"/>
      <c r="QLF377" s="50"/>
      <c r="QLG377" s="50"/>
      <c r="QLH377" s="50"/>
      <c r="QLI377" s="50"/>
      <c r="QLJ377" s="50"/>
      <c r="QLK377" s="50"/>
      <c r="QLL377" s="50"/>
      <c r="QLM377" s="50"/>
      <c r="QLN377" s="50"/>
      <c r="QLO377" s="50"/>
      <c r="QLP377" s="50"/>
      <c r="QLQ377" s="50"/>
      <c r="QLR377" s="50"/>
      <c r="QLS377" s="50"/>
      <c r="QLT377" s="50"/>
      <c r="QLU377" s="50"/>
      <c r="QLV377" s="50"/>
      <c r="QLW377" s="50"/>
      <c r="QLX377" s="50"/>
      <c r="QLY377" s="50"/>
      <c r="QLZ377" s="50"/>
      <c r="QMA377" s="50"/>
      <c r="QMB377" s="50"/>
      <c r="QMC377" s="50"/>
      <c r="QMD377" s="50"/>
      <c r="QME377" s="50"/>
      <c r="QMF377" s="50"/>
      <c r="QMG377" s="50"/>
      <c r="QMH377" s="50"/>
      <c r="QMI377" s="50"/>
      <c r="QMJ377" s="50"/>
      <c r="QMK377" s="50"/>
      <c r="QML377" s="50"/>
      <c r="QMM377" s="50"/>
      <c r="QMN377" s="50"/>
      <c r="QMO377" s="50"/>
      <c r="QMP377" s="50"/>
      <c r="QMQ377" s="50"/>
      <c r="QMR377" s="50"/>
      <c r="QMS377" s="50"/>
      <c r="QMT377" s="50"/>
      <c r="QMU377" s="50"/>
      <c r="QMV377" s="50"/>
      <c r="QMW377" s="50"/>
      <c r="QMX377" s="50"/>
      <c r="QMY377" s="50"/>
      <c r="QMZ377" s="50"/>
      <c r="QNA377" s="50"/>
      <c r="QNB377" s="50"/>
      <c r="QNC377" s="50"/>
      <c r="QND377" s="50"/>
      <c r="QNE377" s="50"/>
      <c r="QNF377" s="50"/>
      <c r="QNG377" s="50"/>
      <c r="QNH377" s="50"/>
      <c r="QNI377" s="50"/>
      <c r="QNJ377" s="50"/>
      <c r="QNK377" s="50"/>
      <c r="QNL377" s="50"/>
      <c r="QNM377" s="50"/>
      <c r="QNN377" s="50"/>
      <c r="QNO377" s="50"/>
      <c r="QNP377" s="50"/>
      <c r="QNQ377" s="50"/>
      <c r="QNR377" s="50"/>
      <c r="QNS377" s="50"/>
      <c r="QNT377" s="50"/>
      <c r="QNU377" s="50"/>
      <c r="QNV377" s="50"/>
      <c r="QNW377" s="50"/>
      <c r="QNX377" s="50"/>
      <c r="QNY377" s="50"/>
      <c r="QNZ377" s="50"/>
      <c r="QOA377" s="50"/>
      <c r="QOB377" s="50"/>
      <c r="QOC377" s="50"/>
      <c r="QOD377" s="50"/>
      <c r="QOE377" s="50"/>
      <c r="QOF377" s="50"/>
      <c r="QOG377" s="50"/>
      <c r="QOH377" s="50"/>
      <c r="QOI377" s="50"/>
      <c r="QOJ377" s="50"/>
      <c r="QOK377" s="50"/>
      <c r="QOL377" s="50"/>
      <c r="QOM377" s="50"/>
      <c r="QON377" s="50"/>
      <c r="QOO377" s="50"/>
      <c r="QOP377" s="50"/>
      <c r="QOQ377" s="50"/>
      <c r="QOR377" s="50"/>
      <c r="QOS377" s="50"/>
      <c r="QOT377" s="50"/>
      <c r="QOU377" s="50"/>
      <c r="QOV377" s="50"/>
      <c r="QOW377" s="50"/>
      <c r="QOX377" s="50"/>
      <c r="QOY377" s="50"/>
      <c r="QOZ377" s="50"/>
      <c r="QPA377" s="50"/>
      <c r="QPB377" s="50"/>
      <c r="QPC377" s="50"/>
      <c r="QPD377" s="50"/>
      <c r="QPE377" s="50"/>
      <c r="QPF377" s="50"/>
      <c r="QPG377" s="50"/>
      <c r="QPH377" s="50"/>
      <c r="QPI377" s="50"/>
      <c r="QPJ377" s="50"/>
      <c r="QPK377" s="50"/>
      <c r="QPL377" s="50"/>
      <c r="QPM377" s="50"/>
      <c r="QPN377" s="50"/>
      <c r="QPO377" s="50"/>
      <c r="QPP377" s="50"/>
      <c r="QPQ377" s="50"/>
      <c r="QPR377" s="50"/>
      <c r="QPS377" s="50"/>
      <c r="QPT377" s="50"/>
      <c r="QPU377" s="50"/>
      <c r="QPV377" s="50"/>
      <c r="QPW377" s="50"/>
      <c r="QPX377" s="50"/>
      <c r="QPY377" s="50"/>
      <c r="QPZ377" s="50"/>
      <c r="QQA377" s="50"/>
      <c r="QQB377" s="50"/>
      <c r="QQC377" s="50"/>
      <c r="QQD377" s="50"/>
      <c r="QQE377" s="50"/>
      <c r="QQF377" s="50"/>
      <c r="QQG377" s="50"/>
      <c r="QQH377" s="50"/>
      <c r="QQI377" s="50"/>
      <c r="QQJ377" s="50"/>
      <c r="QQK377" s="50"/>
      <c r="QQL377" s="50"/>
      <c r="QQM377" s="50"/>
      <c r="QQN377" s="50"/>
      <c r="QQO377" s="50"/>
      <c r="QQP377" s="50"/>
      <c r="QQQ377" s="50"/>
      <c r="QQR377" s="50"/>
      <c r="QQS377" s="50"/>
      <c r="QQT377" s="50"/>
      <c r="QQU377" s="50"/>
      <c r="QQV377" s="50"/>
      <c r="QQW377" s="50"/>
      <c r="QQX377" s="50"/>
      <c r="QQY377" s="50"/>
      <c r="QQZ377" s="50"/>
      <c r="QRA377" s="50"/>
      <c r="QRB377" s="50"/>
      <c r="QRC377" s="50"/>
      <c r="QRD377" s="50"/>
      <c r="QRE377" s="50"/>
      <c r="QRF377" s="50"/>
      <c r="QRG377" s="50"/>
      <c r="QRH377" s="50"/>
      <c r="QRI377" s="50"/>
      <c r="QRJ377" s="50"/>
      <c r="QRK377" s="50"/>
      <c r="QRL377" s="50"/>
      <c r="QRM377" s="50"/>
      <c r="QRN377" s="50"/>
      <c r="QRO377" s="50"/>
      <c r="QRP377" s="50"/>
      <c r="QRQ377" s="50"/>
      <c r="QRR377" s="50"/>
      <c r="QRS377" s="50"/>
      <c r="QRT377" s="50"/>
      <c r="QRU377" s="50"/>
      <c r="QRV377" s="50"/>
      <c r="QRW377" s="50"/>
      <c r="QRX377" s="50"/>
      <c r="QRY377" s="50"/>
      <c r="QRZ377" s="50"/>
      <c r="QSA377" s="50"/>
      <c r="QSB377" s="50"/>
      <c r="QSC377" s="50"/>
      <c r="QSD377" s="50"/>
      <c r="QSE377" s="50"/>
      <c r="QSF377" s="50"/>
      <c r="QSG377" s="50"/>
      <c r="QSH377" s="50"/>
      <c r="QSI377" s="50"/>
      <c r="QSJ377" s="50"/>
      <c r="QSK377" s="50"/>
      <c r="QSL377" s="50"/>
      <c r="QSM377" s="50"/>
      <c r="QSN377" s="50"/>
      <c r="QSO377" s="50"/>
      <c r="QSP377" s="50"/>
      <c r="QSQ377" s="50"/>
      <c r="QSR377" s="50"/>
      <c r="QSS377" s="50"/>
      <c r="QST377" s="50"/>
      <c r="QSU377" s="50"/>
      <c r="QSV377" s="50"/>
      <c r="QSW377" s="50"/>
      <c r="QSX377" s="50"/>
      <c r="QSY377" s="50"/>
      <c r="QSZ377" s="50"/>
      <c r="QTA377" s="50"/>
      <c r="QTB377" s="50"/>
      <c r="QTC377" s="50"/>
      <c r="QTD377" s="50"/>
      <c r="QTE377" s="50"/>
      <c r="QTF377" s="50"/>
      <c r="QTG377" s="50"/>
      <c r="QTH377" s="50"/>
      <c r="QTI377" s="50"/>
      <c r="QTJ377" s="50"/>
      <c r="QTK377" s="50"/>
      <c r="QTL377" s="50"/>
      <c r="QTM377" s="50"/>
      <c r="QTN377" s="50"/>
      <c r="QTO377" s="50"/>
      <c r="QTP377" s="50"/>
      <c r="QTQ377" s="50"/>
      <c r="QTR377" s="50"/>
      <c r="QTS377" s="50"/>
      <c r="QTT377" s="50"/>
      <c r="QTU377" s="50"/>
      <c r="QTV377" s="50"/>
      <c r="QTW377" s="50"/>
      <c r="QTX377" s="50"/>
      <c r="QTY377" s="50"/>
      <c r="QTZ377" s="50"/>
      <c r="QUA377" s="50"/>
      <c r="QUB377" s="50"/>
      <c r="QUC377" s="50"/>
      <c r="QUD377" s="50"/>
      <c r="QUE377" s="50"/>
      <c r="QUF377" s="50"/>
      <c r="QUG377" s="50"/>
      <c r="QUH377" s="50"/>
      <c r="QUI377" s="50"/>
      <c r="QUJ377" s="50"/>
      <c r="QUK377" s="50"/>
      <c r="QUL377" s="50"/>
      <c r="QUM377" s="50"/>
      <c r="QUN377" s="50"/>
      <c r="QUO377" s="50"/>
      <c r="QUP377" s="50"/>
      <c r="QUQ377" s="50"/>
      <c r="QUR377" s="50"/>
      <c r="QUS377" s="50"/>
      <c r="QUT377" s="50"/>
      <c r="QUU377" s="50"/>
      <c r="QUV377" s="50"/>
      <c r="QUW377" s="50"/>
      <c r="QUX377" s="50"/>
      <c r="QUY377" s="50"/>
      <c r="QUZ377" s="50"/>
      <c r="QVA377" s="50"/>
      <c r="QVB377" s="50"/>
      <c r="QVC377" s="50"/>
      <c r="QVD377" s="50"/>
      <c r="QVE377" s="50"/>
      <c r="QVF377" s="50"/>
      <c r="QVG377" s="50"/>
      <c r="QVH377" s="50"/>
      <c r="QVI377" s="50"/>
      <c r="QVJ377" s="50"/>
      <c r="QVK377" s="50"/>
      <c r="QVL377" s="50"/>
      <c r="QVM377" s="50"/>
      <c r="QVN377" s="50"/>
      <c r="QVO377" s="50"/>
      <c r="QVP377" s="50"/>
      <c r="QVQ377" s="50"/>
      <c r="QVR377" s="50"/>
      <c r="QVS377" s="50"/>
      <c r="QVT377" s="50"/>
      <c r="QVU377" s="50"/>
      <c r="QVV377" s="50"/>
      <c r="QVW377" s="50"/>
      <c r="QVX377" s="50"/>
      <c r="QVY377" s="50"/>
      <c r="QVZ377" s="50"/>
      <c r="QWA377" s="50"/>
      <c r="QWB377" s="50"/>
      <c r="QWC377" s="50"/>
      <c r="QWD377" s="50"/>
      <c r="QWE377" s="50"/>
      <c r="QWF377" s="50"/>
      <c r="QWG377" s="50"/>
      <c r="QWH377" s="50"/>
      <c r="QWI377" s="50"/>
      <c r="QWJ377" s="50"/>
      <c r="QWK377" s="50"/>
      <c r="QWL377" s="50"/>
      <c r="QWM377" s="50"/>
      <c r="QWN377" s="50"/>
      <c r="QWO377" s="50"/>
      <c r="QWP377" s="50"/>
      <c r="QWQ377" s="50"/>
      <c r="QWR377" s="50"/>
      <c r="QWS377" s="50"/>
      <c r="QWT377" s="50"/>
      <c r="QWU377" s="50"/>
      <c r="QWV377" s="50"/>
      <c r="QWW377" s="50"/>
      <c r="QWX377" s="50"/>
      <c r="QWY377" s="50"/>
      <c r="QWZ377" s="50"/>
      <c r="QXA377" s="50"/>
      <c r="QXB377" s="50"/>
      <c r="QXC377" s="50"/>
      <c r="QXD377" s="50"/>
      <c r="QXE377" s="50"/>
      <c r="QXF377" s="50"/>
      <c r="QXG377" s="50"/>
      <c r="QXH377" s="50"/>
      <c r="QXI377" s="50"/>
      <c r="QXJ377" s="50"/>
      <c r="QXK377" s="50"/>
      <c r="QXL377" s="50"/>
      <c r="QXM377" s="50"/>
      <c r="QXN377" s="50"/>
      <c r="QXO377" s="50"/>
      <c r="QXP377" s="50"/>
      <c r="QXQ377" s="50"/>
      <c r="QXR377" s="50"/>
      <c r="QXS377" s="50"/>
      <c r="QXT377" s="50"/>
      <c r="QXU377" s="50"/>
      <c r="QXV377" s="50"/>
      <c r="QXW377" s="50"/>
      <c r="QXX377" s="50"/>
      <c r="QXY377" s="50"/>
      <c r="QXZ377" s="50"/>
      <c r="QYA377" s="50"/>
      <c r="QYB377" s="50"/>
      <c r="QYC377" s="50"/>
      <c r="QYD377" s="50"/>
      <c r="QYE377" s="50"/>
      <c r="QYF377" s="50"/>
      <c r="QYG377" s="50"/>
      <c r="QYH377" s="50"/>
      <c r="QYI377" s="50"/>
      <c r="QYJ377" s="50"/>
      <c r="QYK377" s="50"/>
      <c r="QYL377" s="50"/>
      <c r="QYM377" s="50"/>
      <c r="QYN377" s="50"/>
      <c r="QYO377" s="50"/>
      <c r="QYP377" s="50"/>
      <c r="QYQ377" s="50"/>
      <c r="QYR377" s="50"/>
      <c r="QYS377" s="50"/>
      <c r="QYT377" s="50"/>
      <c r="QYU377" s="50"/>
      <c r="QYV377" s="50"/>
      <c r="QYW377" s="50"/>
      <c r="QYX377" s="50"/>
      <c r="QYY377" s="50"/>
      <c r="QYZ377" s="50"/>
      <c r="QZA377" s="50"/>
      <c r="QZB377" s="50"/>
      <c r="QZC377" s="50"/>
      <c r="QZD377" s="50"/>
      <c r="QZE377" s="50"/>
      <c r="QZF377" s="50"/>
      <c r="QZG377" s="50"/>
      <c r="QZH377" s="50"/>
      <c r="QZI377" s="50"/>
      <c r="QZJ377" s="50"/>
      <c r="QZK377" s="50"/>
      <c r="QZL377" s="50"/>
      <c r="QZM377" s="50"/>
      <c r="QZN377" s="50"/>
      <c r="QZO377" s="50"/>
      <c r="QZP377" s="50"/>
      <c r="QZQ377" s="50"/>
      <c r="QZR377" s="50"/>
      <c r="QZS377" s="50"/>
      <c r="QZT377" s="50"/>
      <c r="QZU377" s="50"/>
      <c r="QZV377" s="50"/>
      <c r="QZW377" s="50"/>
      <c r="QZX377" s="50"/>
      <c r="QZY377" s="50"/>
      <c r="QZZ377" s="50"/>
      <c r="RAA377" s="50"/>
      <c r="RAB377" s="50"/>
      <c r="RAC377" s="50"/>
      <c r="RAD377" s="50"/>
      <c r="RAE377" s="50"/>
      <c r="RAF377" s="50"/>
      <c r="RAG377" s="50"/>
      <c r="RAH377" s="50"/>
      <c r="RAI377" s="50"/>
      <c r="RAJ377" s="50"/>
      <c r="RAK377" s="50"/>
      <c r="RAL377" s="50"/>
      <c r="RAM377" s="50"/>
      <c r="RAN377" s="50"/>
      <c r="RAO377" s="50"/>
      <c r="RAP377" s="50"/>
      <c r="RAQ377" s="50"/>
      <c r="RAR377" s="50"/>
      <c r="RAS377" s="50"/>
      <c r="RAT377" s="50"/>
      <c r="RAU377" s="50"/>
      <c r="RAV377" s="50"/>
      <c r="RAW377" s="50"/>
      <c r="RAX377" s="50"/>
      <c r="RAY377" s="50"/>
      <c r="RAZ377" s="50"/>
      <c r="RBA377" s="50"/>
      <c r="RBB377" s="50"/>
      <c r="RBC377" s="50"/>
      <c r="RBD377" s="50"/>
      <c r="RBE377" s="50"/>
      <c r="RBF377" s="50"/>
      <c r="RBG377" s="50"/>
      <c r="RBH377" s="50"/>
      <c r="RBI377" s="50"/>
      <c r="RBJ377" s="50"/>
      <c r="RBK377" s="50"/>
      <c r="RBL377" s="50"/>
      <c r="RBM377" s="50"/>
      <c r="RBN377" s="50"/>
      <c r="RBO377" s="50"/>
      <c r="RBP377" s="50"/>
      <c r="RBQ377" s="50"/>
      <c r="RBR377" s="50"/>
      <c r="RBS377" s="50"/>
      <c r="RBT377" s="50"/>
      <c r="RBU377" s="50"/>
      <c r="RBV377" s="50"/>
      <c r="RBW377" s="50"/>
      <c r="RBX377" s="50"/>
      <c r="RBY377" s="50"/>
      <c r="RBZ377" s="50"/>
      <c r="RCA377" s="50"/>
      <c r="RCB377" s="50"/>
      <c r="RCC377" s="50"/>
      <c r="RCD377" s="50"/>
      <c r="RCE377" s="50"/>
      <c r="RCF377" s="50"/>
      <c r="RCG377" s="50"/>
      <c r="RCH377" s="50"/>
      <c r="RCI377" s="50"/>
      <c r="RCJ377" s="50"/>
      <c r="RCK377" s="50"/>
      <c r="RCL377" s="50"/>
      <c r="RCM377" s="50"/>
      <c r="RCN377" s="50"/>
      <c r="RCO377" s="50"/>
      <c r="RCP377" s="50"/>
      <c r="RCQ377" s="50"/>
      <c r="RCR377" s="50"/>
      <c r="RCS377" s="50"/>
      <c r="RCT377" s="50"/>
      <c r="RCU377" s="50"/>
      <c r="RCV377" s="50"/>
      <c r="RCW377" s="50"/>
      <c r="RCX377" s="50"/>
      <c r="RCY377" s="50"/>
      <c r="RCZ377" s="50"/>
      <c r="RDA377" s="50"/>
      <c r="RDB377" s="50"/>
      <c r="RDC377" s="50"/>
      <c r="RDD377" s="50"/>
      <c r="RDE377" s="50"/>
      <c r="RDF377" s="50"/>
      <c r="RDG377" s="50"/>
      <c r="RDH377" s="50"/>
      <c r="RDI377" s="50"/>
      <c r="RDJ377" s="50"/>
      <c r="RDK377" s="50"/>
      <c r="RDL377" s="50"/>
      <c r="RDM377" s="50"/>
      <c r="RDN377" s="50"/>
      <c r="RDO377" s="50"/>
      <c r="RDP377" s="50"/>
      <c r="RDQ377" s="50"/>
      <c r="RDR377" s="50"/>
      <c r="RDS377" s="50"/>
      <c r="RDT377" s="50"/>
      <c r="RDU377" s="50"/>
      <c r="RDV377" s="50"/>
      <c r="RDW377" s="50"/>
      <c r="RDX377" s="50"/>
      <c r="RDY377" s="50"/>
      <c r="RDZ377" s="50"/>
      <c r="REA377" s="50"/>
      <c r="REB377" s="50"/>
      <c r="REC377" s="50"/>
      <c r="RED377" s="50"/>
      <c r="REE377" s="50"/>
      <c r="REF377" s="50"/>
      <c r="REG377" s="50"/>
      <c r="REH377" s="50"/>
      <c r="REI377" s="50"/>
      <c r="REJ377" s="50"/>
      <c r="REK377" s="50"/>
      <c r="REL377" s="50"/>
      <c r="REM377" s="50"/>
      <c r="REN377" s="50"/>
      <c r="REO377" s="50"/>
      <c r="REP377" s="50"/>
      <c r="REQ377" s="50"/>
      <c r="RER377" s="50"/>
      <c r="RES377" s="50"/>
      <c r="RET377" s="50"/>
      <c r="REU377" s="50"/>
      <c r="REV377" s="50"/>
      <c r="REW377" s="50"/>
      <c r="REX377" s="50"/>
      <c r="REY377" s="50"/>
      <c r="REZ377" s="50"/>
      <c r="RFA377" s="50"/>
      <c r="RFB377" s="50"/>
      <c r="RFC377" s="50"/>
      <c r="RFD377" s="50"/>
      <c r="RFE377" s="50"/>
      <c r="RFF377" s="50"/>
      <c r="RFG377" s="50"/>
      <c r="RFH377" s="50"/>
      <c r="RFI377" s="50"/>
      <c r="RFJ377" s="50"/>
      <c r="RFK377" s="50"/>
      <c r="RFL377" s="50"/>
      <c r="RFM377" s="50"/>
      <c r="RFN377" s="50"/>
      <c r="RFO377" s="50"/>
      <c r="RFP377" s="50"/>
      <c r="RFQ377" s="50"/>
      <c r="RFR377" s="50"/>
      <c r="RFS377" s="50"/>
      <c r="RFT377" s="50"/>
      <c r="RFU377" s="50"/>
      <c r="RFV377" s="50"/>
      <c r="RFW377" s="50"/>
      <c r="RFX377" s="50"/>
      <c r="RFY377" s="50"/>
      <c r="RFZ377" s="50"/>
      <c r="RGA377" s="50"/>
      <c r="RGB377" s="50"/>
      <c r="RGC377" s="50"/>
      <c r="RGD377" s="50"/>
      <c r="RGE377" s="50"/>
      <c r="RGF377" s="50"/>
      <c r="RGG377" s="50"/>
      <c r="RGH377" s="50"/>
      <c r="RGI377" s="50"/>
      <c r="RGJ377" s="50"/>
      <c r="RGK377" s="50"/>
      <c r="RGL377" s="50"/>
      <c r="RGM377" s="50"/>
      <c r="RGN377" s="50"/>
      <c r="RGO377" s="50"/>
      <c r="RGP377" s="50"/>
      <c r="RGQ377" s="50"/>
      <c r="RGR377" s="50"/>
      <c r="RGS377" s="50"/>
      <c r="RGT377" s="50"/>
      <c r="RGU377" s="50"/>
      <c r="RGV377" s="50"/>
      <c r="RGW377" s="50"/>
      <c r="RGX377" s="50"/>
      <c r="RGY377" s="50"/>
      <c r="RGZ377" s="50"/>
      <c r="RHA377" s="50"/>
      <c r="RHB377" s="50"/>
      <c r="RHC377" s="50"/>
      <c r="RHD377" s="50"/>
      <c r="RHE377" s="50"/>
      <c r="RHF377" s="50"/>
      <c r="RHG377" s="50"/>
      <c r="RHH377" s="50"/>
      <c r="RHI377" s="50"/>
      <c r="RHJ377" s="50"/>
      <c r="RHK377" s="50"/>
      <c r="RHL377" s="50"/>
      <c r="RHM377" s="50"/>
      <c r="RHN377" s="50"/>
      <c r="RHO377" s="50"/>
      <c r="RHP377" s="50"/>
      <c r="RHQ377" s="50"/>
      <c r="RHR377" s="50"/>
      <c r="RHS377" s="50"/>
      <c r="RHT377" s="50"/>
      <c r="RHU377" s="50"/>
      <c r="RHV377" s="50"/>
      <c r="RHW377" s="50"/>
      <c r="RHX377" s="50"/>
      <c r="RHY377" s="50"/>
      <c r="RHZ377" s="50"/>
      <c r="RIA377" s="50"/>
      <c r="RIB377" s="50"/>
      <c r="RIC377" s="50"/>
      <c r="RID377" s="50"/>
      <c r="RIE377" s="50"/>
      <c r="RIF377" s="50"/>
      <c r="RIG377" s="50"/>
      <c r="RIH377" s="50"/>
      <c r="RII377" s="50"/>
      <c r="RIJ377" s="50"/>
      <c r="RIK377" s="50"/>
      <c r="RIL377" s="50"/>
      <c r="RIM377" s="50"/>
      <c r="RIN377" s="50"/>
      <c r="RIO377" s="50"/>
      <c r="RIP377" s="50"/>
      <c r="RIQ377" s="50"/>
      <c r="RIR377" s="50"/>
      <c r="RIS377" s="50"/>
      <c r="RIT377" s="50"/>
      <c r="RIU377" s="50"/>
      <c r="RIV377" s="50"/>
      <c r="RIW377" s="50"/>
      <c r="RIX377" s="50"/>
      <c r="RIY377" s="50"/>
      <c r="RIZ377" s="50"/>
      <c r="RJA377" s="50"/>
      <c r="RJB377" s="50"/>
      <c r="RJC377" s="50"/>
      <c r="RJD377" s="50"/>
      <c r="RJE377" s="50"/>
      <c r="RJF377" s="50"/>
      <c r="RJG377" s="50"/>
      <c r="RJH377" s="50"/>
      <c r="RJI377" s="50"/>
      <c r="RJJ377" s="50"/>
      <c r="RJK377" s="50"/>
      <c r="RJL377" s="50"/>
      <c r="RJM377" s="50"/>
      <c r="RJN377" s="50"/>
      <c r="RJO377" s="50"/>
      <c r="RJP377" s="50"/>
      <c r="RJQ377" s="50"/>
      <c r="RJR377" s="50"/>
      <c r="RJS377" s="50"/>
      <c r="RJT377" s="50"/>
      <c r="RJU377" s="50"/>
      <c r="RJV377" s="50"/>
      <c r="RJW377" s="50"/>
      <c r="RJX377" s="50"/>
      <c r="RJY377" s="50"/>
      <c r="RJZ377" s="50"/>
      <c r="RKA377" s="50"/>
      <c r="RKB377" s="50"/>
      <c r="RKC377" s="50"/>
      <c r="RKD377" s="50"/>
      <c r="RKE377" s="50"/>
      <c r="RKF377" s="50"/>
      <c r="RKG377" s="50"/>
      <c r="RKH377" s="50"/>
      <c r="RKI377" s="50"/>
      <c r="RKJ377" s="50"/>
      <c r="RKK377" s="50"/>
      <c r="RKL377" s="50"/>
      <c r="RKM377" s="50"/>
      <c r="RKN377" s="50"/>
      <c r="RKO377" s="50"/>
      <c r="RKP377" s="50"/>
      <c r="RKQ377" s="50"/>
      <c r="RKR377" s="50"/>
      <c r="RKS377" s="50"/>
      <c r="RKT377" s="50"/>
      <c r="RKU377" s="50"/>
      <c r="RKV377" s="50"/>
      <c r="RKW377" s="50"/>
      <c r="RKX377" s="50"/>
      <c r="RKY377" s="50"/>
      <c r="RKZ377" s="50"/>
      <c r="RLA377" s="50"/>
      <c r="RLB377" s="50"/>
      <c r="RLC377" s="50"/>
      <c r="RLD377" s="50"/>
      <c r="RLE377" s="50"/>
      <c r="RLF377" s="50"/>
      <c r="RLG377" s="50"/>
      <c r="RLH377" s="50"/>
      <c r="RLI377" s="50"/>
      <c r="RLJ377" s="50"/>
      <c r="RLK377" s="50"/>
      <c r="RLL377" s="50"/>
      <c r="RLM377" s="50"/>
      <c r="RLN377" s="50"/>
      <c r="RLO377" s="50"/>
      <c r="RLP377" s="50"/>
      <c r="RLQ377" s="50"/>
      <c r="RLR377" s="50"/>
      <c r="RLS377" s="50"/>
      <c r="RLT377" s="50"/>
      <c r="RLU377" s="50"/>
      <c r="RLV377" s="50"/>
      <c r="RLW377" s="50"/>
      <c r="RLX377" s="50"/>
      <c r="RLY377" s="50"/>
      <c r="RLZ377" s="50"/>
      <c r="RMA377" s="50"/>
      <c r="RMB377" s="50"/>
      <c r="RMC377" s="50"/>
      <c r="RMD377" s="50"/>
      <c r="RME377" s="50"/>
      <c r="RMF377" s="50"/>
      <c r="RMG377" s="50"/>
      <c r="RMH377" s="50"/>
      <c r="RMI377" s="50"/>
      <c r="RMJ377" s="50"/>
      <c r="RMK377" s="50"/>
      <c r="RML377" s="50"/>
      <c r="RMM377" s="50"/>
      <c r="RMN377" s="50"/>
      <c r="RMO377" s="50"/>
      <c r="RMP377" s="50"/>
      <c r="RMQ377" s="50"/>
      <c r="RMR377" s="50"/>
      <c r="RMS377" s="50"/>
      <c r="RMT377" s="50"/>
      <c r="RMU377" s="50"/>
      <c r="RMV377" s="50"/>
      <c r="RMW377" s="50"/>
      <c r="RMX377" s="50"/>
      <c r="RMY377" s="50"/>
      <c r="RMZ377" s="50"/>
      <c r="RNA377" s="50"/>
      <c r="RNB377" s="50"/>
      <c r="RNC377" s="50"/>
      <c r="RND377" s="50"/>
      <c r="RNE377" s="50"/>
      <c r="RNF377" s="50"/>
      <c r="RNG377" s="50"/>
      <c r="RNH377" s="50"/>
      <c r="RNI377" s="50"/>
      <c r="RNJ377" s="50"/>
      <c r="RNK377" s="50"/>
      <c r="RNL377" s="50"/>
      <c r="RNM377" s="50"/>
      <c r="RNN377" s="50"/>
      <c r="RNO377" s="50"/>
      <c r="RNP377" s="50"/>
      <c r="RNQ377" s="50"/>
      <c r="RNR377" s="50"/>
      <c r="RNS377" s="50"/>
      <c r="RNT377" s="50"/>
      <c r="RNU377" s="50"/>
      <c r="RNV377" s="50"/>
      <c r="RNW377" s="50"/>
      <c r="RNX377" s="50"/>
      <c r="RNY377" s="50"/>
      <c r="RNZ377" s="50"/>
      <c r="ROA377" s="50"/>
      <c r="ROB377" s="50"/>
      <c r="ROC377" s="50"/>
      <c r="ROD377" s="50"/>
      <c r="ROE377" s="50"/>
      <c r="ROF377" s="50"/>
      <c r="ROG377" s="50"/>
      <c r="ROH377" s="50"/>
      <c r="ROI377" s="50"/>
      <c r="ROJ377" s="50"/>
      <c r="ROK377" s="50"/>
      <c r="ROL377" s="50"/>
      <c r="ROM377" s="50"/>
      <c r="RON377" s="50"/>
      <c r="ROO377" s="50"/>
      <c r="ROP377" s="50"/>
      <c r="ROQ377" s="50"/>
      <c r="ROR377" s="50"/>
      <c r="ROS377" s="50"/>
      <c r="ROT377" s="50"/>
      <c r="ROU377" s="50"/>
      <c r="ROV377" s="50"/>
      <c r="ROW377" s="50"/>
      <c r="ROX377" s="50"/>
      <c r="ROY377" s="50"/>
      <c r="ROZ377" s="50"/>
      <c r="RPA377" s="50"/>
      <c r="RPB377" s="50"/>
      <c r="RPC377" s="50"/>
      <c r="RPD377" s="50"/>
      <c r="RPE377" s="50"/>
      <c r="RPF377" s="50"/>
      <c r="RPG377" s="50"/>
      <c r="RPH377" s="50"/>
      <c r="RPI377" s="50"/>
      <c r="RPJ377" s="50"/>
      <c r="RPK377" s="50"/>
      <c r="RPL377" s="50"/>
      <c r="RPM377" s="50"/>
      <c r="RPN377" s="50"/>
      <c r="RPO377" s="50"/>
      <c r="RPP377" s="50"/>
      <c r="RPQ377" s="50"/>
      <c r="RPR377" s="50"/>
      <c r="RPS377" s="50"/>
      <c r="RPT377" s="50"/>
      <c r="RPU377" s="50"/>
      <c r="RPV377" s="50"/>
      <c r="RPW377" s="50"/>
      <c r="RPX377" s="50"/>
      <c r="RPY377" s="50"/>
      <c r="RPZ377" s="50"/>
      <c r="RQA377" s="50"/>
      <c r="RQB377" s="50"/>
      <c r="RQC377" s="50"/>
      <c r="RQD377" s="50"/>
      <c r="RQE377" s="50"/>
      <c r="RQF377" s="50"/>
      <c r="RQG377" s="50"/>
      <c r="RQH377" s="50"/>
      <c r="RQI377" s="50"/>
      <c r="RQJ377" s="50"/>
      <c r="RQK377" s="50"/>
      <c r="RQL377" s="50"/>
      <c r="RQM377" s="50"/>
      <c r="RQN377" s="50"/>
      <c r="RQO377" s="50"/>
      <c r="RQP377" s="50"/>
      <c r="RQQ377" s="50"/>
      <c r="RQR377" s="50"/>
      <c r="RQS377" s="50"/>
      <c r="RQT377" s="50"/>
      <c r="RQU377" s="50"/>
      <c r="RQV377" s="50"/>
      <c r="RQW377" s="50"/>
      <c r="RQX377" s="50"/>
      <c r="RQY377" s="50"/>
      <c r="RQZ377" s="50"/>
      <c r="RRA377" s="50"/>
      <c r="RRB377" s="50"/>
      <c r="RRC377" s="50"/>
      <c r="RRD377" s="50"/>
      <c r="RRE377" s="50"/>
      <c r="RRF377" s="50"/>
      <c r="RRG377" s="50"/>
      <c r="RRH377" s="50"/>
      <c r="RRI377" s="50"/>
      <c r="RRJ377" s="50"/>
      <c r="RRK377" s="50"/>
      <c r="RRL377" s="50"/>
      <c r="RRM377" s="50"/>
      <c r="RRN377" s="50"/>
      <c r="RRO377" s="50"/>
      <c r="RRP377" s="50"/>
      <c r="RRQ377" s="50"/>
      <c r="RRR377" s="50"/>
      <c r="RRS377" s="50"/>
      <c r="RRT377" s="50"/>
      <c r="RRU377" s="50"/>
      <c r="RRV377" s="50"/>
      <c r="RRW377" s="50"/>
      <c r="RRX377" s="50"/>
      <c r="RRY377" s="50"/>
      <c r="RRZ377" s="50"/>
      <c r="RSA377" s="50"/>
      <c r="RSB377" s="50"/>
      <c r="RSC377" s="50"/>
      <c r="RSD377" s="50"/>
      <c r="RSE377" s="50"/>
      <c r="RSF377" s="50"/>
      <c r="RSG377" s="50"/>
      <c r="RSH377" s="50"/>
      <c r="RSI377" s="50"/>
      <c r="RSJ377" s="50"/>
      <c r="RSK377" s="50"/>
      <c r="RSL377" s="50"/>
      <c r="RSM377" s="50"/>
      <c r="RSN377" s="50"/>
      <c r="RSO377" s="50"/>
      <c r="RSP377" s="50"/>
      <c r="RSQ377" s="50"/>
      <c r="RSR377" s="50"/>
      <c r="RSS377" s="50"/>
      <c r="RST377" s="50"/>
      <c r="RSU377" s="50"/>
      <c r="RSV377" s="50"/>
      <c r="RSW377" s="50"/>
      <c r="RSX377" s="50"/>
      <c r="RSY377" s="50"/>
      <c r="RSZ377" s="50"/>
      <c r="RTA377" s="50"/>
      <c r="RTB377" s="50"/>
      <c r="RTC377" s="50"/>
      <c r="RTD377" s="50"/>
      <c r="RTE377" s="50"/>
      <c r="RTF377" s="50"/>
      <c r="RTG377" s="50"/>
      <c r="RTH377" s="50"/>
      <c r="RTI377" s="50"/>
      <c r="RTJ377" s="50"/>
      <c r="RTK377" s="50"/>
      <c r="RTL377" s="50"/>
      <c r="RTM377" s="50"/>
      <c r="RTN377" s="50"/>
      <c r="RTO377" s="50"/>
      <c r="RTP377" s="50"/>
      <c r="RTQ377" s="50"/>
      <c r="RTR377" s="50"/>
      <c r="RTS377" s="50"/>
      <c r="RTT377" s="50"/>
      <c r="RTU377" s="50"/>
      <c r="RTV377" s="50"/>
      <c r="RTW377" s="50"/>
      <c r="RTX377" s="50"/>
      <c r="RTY377" s="50"/>
      <c r="RTZ377" s="50"/>
      <c r="RUA377" s="50"/>
      <c r="RUB377" s="50"/>
      <c r="RUC377" s="50"/>
      <c r="RUD377" s="50"/>
      <c r="RUE377" s="50"/>
      <c r="RUF377" s="50"/>
      <c r="RUG377" s="50"/>
      <c r="RUH377" s="50"/>
      <c r="RUI377" s="50"/>
      <c r="RUJ377" s="50"/>
      <c r="RUK377" s="50"/>
      <c r="RUL377" s="50"/>
      <c r="RUM377" s="50"/>
      <c r="RUN377" s="50"/>
      <c r="RUO377" s="50"/>
      <c r="RUP377" s="50"/>
      <c r="RUQ377" s="50"/>
      <c r="RUR377" s="50"/>
      <c r="RUS377" s="50"/>
      <c r="RUT377" s="50"/>
      <c r="RUU377" s="50"/>
      <c r="RUV377" s="50"/>
      <c r="RUW377" s="50"/>
      <c r="RUX377" s="50"/>
      <c r="RUY377" s="50"/>
      <c r="RUZ377" s="50"/>
      <c r="RVA377" s="50"/>
      <c r="RVB377" s="50"/>
      <c r="RVC377" s="50"/>
      <c r="RVD377" s="50"/>
      <c r="RVE377" s="50"/>
      <c r="RVF377" s="50"/>
      <c r="RVG377" s="50"/>
      <c r="RVH377" s="50"/>
      <c r="RVI377" s="50"/>
      <c r="RVJ377" s="50"/>
      <c r="RVK377" s="50"/>
      <c r="RVL377" s="50"/>
      <c r="RVM377" s="50"/>
      <c r="RVN377" s="50"/>
      <c r="RVO377" s="50"/>
      <c r="RVP377" s="50"/>
      <c r="RVQ377" s="50"/>
      <c r="RVR377" s="50"/>
      <c r="RVS377" s="50"/>
      <c r="RVT377" s="50"/>
      <c r="RVU377" s="50"/>
      <c r="RVV377" s="50"/>
      <c r="RVW377" s="50"/>
      <c r="RVX377" s="50"/>
      <c r="RVY377" s="50"/>
      <c r="RVZ377" s="50"/>
      <c r="RWA377" s="50"/>
      <c r="RWB377" s="50"/>
      <c r="RWC377" s="50"/>
      <c r="RWD377" s="50"/>
      <c r="RWE377" s="50"/>
      <c r="RWF377" s="50"/>
      <c r="RWG377" s="50"/>
      <c r="RWH377" s="50"/>
      <c r="RWI377" s="50"/>
      <c r="RWJ377" s="50"/>
      <c r="RWK377" s="50"/>
      <c r="RWL377" s="50"/>
      <c r="RWM377" s="50"/>
      <c r="RWN377" s="50"/>
      <c r="RWO377" s="50"/>
      <c r="RWP377" s="50"/>
      <c r="RWQ377" s="50"/>
      <c r="RWR377" s="50"/>
      <c r="RWS377" s="50"/>
      <c r="RWT377" s="50"/>
      <c r="RWU377" s="50"/>
      <c r="RWV377" s="50"/>
      <c r="RWW377" s="50"/>
      <c r="RWX377" s="50"/>
      <c r="RWY377" s="50"/>
      <c r="RWZ377" s="50"/>
      <c r="RXA377" s="50"/>
      <c r="RXB377" s="50"/>
      <c r="RXC377" s="50"/>
      <c r="RXD377" s="50"/>
      <c r="RXE377" s="50"/>
      <c r="RXF377" s="50"/>
      <c r="RXG377" s="50"/>
      <c r="RXH377" s="50"/>
      <c r="RXI377" s="50"/>
      <c r="RXJ377" s="50"/>
      <c r="RXK377" s="50"/>
      <c r="RXL377" s="50"/>
      <c r="RXM377" s="50"/>
      <c r="RXN377" s="50"/>
      <c r="RXO377" s="50"/>
      <c r="RXP377" s="50"/>
      <c r="RXQ377" s="50"/>
      <c r="RXR377" s="50"/>
      <c r="RXS377" s="50"/>
      <c r="RXT377" s="50"/>
      <c r="RXU377" s="50"/>
      <c r="RXV377" s="50"/>
      <c r="RXW377" s="50"/>
      <c r="RXX377" s="50"/>
      <c r="RXY377" s="50"/>
      <c r="RXZ377" s="50"/>
      <c r="RYA377" s="50"/>
      <c r="RYB377" s="50"/>
      <c r="RYC377" s="50"/>
      <c r="RYD377" s="50"/>
      <c r="RYE377" s="50"/>
      <c r="RYF377" s="50"/>
      <c r="RYG377" s="50"/>
      <c r="RYH377" s="50"/>
      <c r="RYI377" s="50"/>
      <c r="RYJ377" s="50"/>
      <c r="RYK377" s="50"/>
      <c r="RYL377" s="50"/>
      <c r="RYM377" s="50"/>
      <c r="RYN377" s="50"/>
      <c r="RYO377" s="50"/>
      <c r="RYP377" s="50"/>
      <c r="RYQ377" s="50"/>
      <c r="RYR377" s="50"/>
      <c r="RYS377" s="50"/>
      <c r="RYT377" s="50"/>
      <c r="RYU377" s="50"/>
      <c r="RYV377" s="50"/>
      <c r="RYW377" s="50"/>
      <c r="RYX377" s="50"/>
      <c r="RYY377" s="50"/>
      <c r="RYZ377" s="50"/>
      <c r="RZA377" s="50"/>
      <c r="RZB377" s="50"/>
      <c r="RZC377" s="50"/>
      <c r="RZD377" s="50"/>
      <c r="RZE377" s="50"/>
      <c r="RZF377" s="50"/>
      <c r="RZG377" s="50"/>
      <c r="RZH377" s="50"/>
      <c r="RZI377" s="50"/>
      <c r="RZJ377" s="50"/>
      <c r="RZK377" s="50"/>
      <c r="RZL377" s="50"/>
      <c r="RZM377" s="50"/>
      <c r="RZN377" s="50"/>
      <c r="RZO377" s="50"/>
      <c r="RZP377" s="50"/>
      <c r="RZQ377" s="50"/>
      <c r="RZR377" s="50"/>
      <c r="RZS377" s="50"/>
      <c r="RZT377" s="50"/>
      <c r="RZU377" s="50"/>
      <c r="RZV377" s="50"/>
      <c r="RZW377" s="50"/>
      <c r="RZX377" s="50"/>
      <c r="RZY377" s="50"/>
      <c r="RZZ377" s="50"/>
      <c r="SAA377" s="50"/>
      <c r="SAB377" s="50"/>
      <c r="SAC377" s="50"/>
      <c r="SAD377" s="50"/>
      <c r="SAE377" s="50"/>
      <c r="SAF377" s="50"/>
      <c r="SAG377" s="50"/>
      <c r="SAH377" s="50"/>
      <c r="SAI377" s="50"/>
      <c r="SAJ377" s="50"/>
      <c r="SAK377" s="50"/>
      <c r="SAL377" s="50"/>
      <c r="SAM377" s="50"/>
      <c r="SAN377" s="50"/>
      <c r="SAO377" s="50"/>
      <c r="SAP377" s="50"/>
      <c r="SAQ377" s="50"/>
      <c r="SAR377" s="50"/>
      <c r="SAS377" s="50"/>
      <c r="SAT377" s="50"/>
      <c r="SAU377" s="50"/>
      <c r="SAV377" s="50"/>
      <c r="SAW377" s="50"/>
      <c r="SAX377" s="50"/>
      <c r="SAY377" s="50"/>
      <c r="SAZ377" s="50"/>
      <c r="SBA377" s="50"/>
      <c r="SBB377" s="50"/>
      <c r="SBC377" s="50"/>
      <c r="SBD377" s="50"/>
      <c r="SBE377" s="50"/>
      <c r="SBF377" s="50"/>
      <c r="SBG377" s="50"/>
      <c r="SBH377" s="50"/>
      <c r="SBI377" s="50"/>
      <c r="SBJ377" s="50"/>
      <c r="SBK377" s="50"/>
      <c r="SBL377" s="50"/>
      <c r="SBM377" s="50"/>
      <c r="SBN377" s="50"/>
      <c r="SBO377" s="50"/>
      <c r="SBP377" s="50"/>
      <c r="SBQ377" s="50"/>
      <c r="SBR377" s="50"/>
      <c r="SBS377" s="50"/>
      <c r="SBT377" s="50"/>
      <c r="SBU377" s="50"/>
      <c r="SBV377" s="50"/>
      <c r="SBW377" s="50"/>
      <c r="SBX377" s="50"/>
      <c r="SBY377" s="50"/>
      <c r="SBZ377" s="50"/>
      <c r="SCA377" s="50"/>
      <c r="SCB377" s="50"/>
      <c r="SCC377" s="50"/>
      <c r="SCD377" s="50"/>
      <c r="SCE377" s="50"/>
      <c r="SCF377" s="50"/>
      <c r="SCG377" s="50"/>
      <c r="SCH377" s="50"/>
      <c r="SCI377" s="50"/>
      <c r="SCJ377" s="50"/>
      <c r="SCK377" s="50"/>
      <c r="SCL377" s="50"/>
      <c r="SCM377" s="50"/>
      <c r="SCN377" s="50"/>
      <c r="SCO377" s="50"/>
      <c r="SCP377" s="50"/>
      <c r="SCQ377" s="50"/>
      <c r="SCR377" s="50"/>
      <c r="SCS377" s="50"/>
      <c r="SCT377" s="50"/>
      <c r="SCU377" s="50"/>
      <c r="SCV377" s="50"/>
      <c r="SCW377" s="50"/>
      <c r="SCX377" s="50"/>
      <c r="SCY377" s="50"/>
      <c r="SCZ377" s="50"/>
      <c r="SDA377" s="50"/>
      <c r="SDB377" s="50"/>
      <c r="SDC377" s="50"/>
      <c r="SDD377" s="50"/>
      <c r="SDE377" s="50"/>
      <c r="SDF377" s="50"/>
      <c r="SDG377" s="50"/>
      <c r="SDH377" s="50"/>
      <c r="SDI377" s="50"/>
      <c r="SDJ377" s="50"/>
      <c r="SDK377" s="50"/>
      <c r="SDL377" s="50"/>
      <c r="SDM377" s="50"/>
      <c r="SDN377" s="50"/>
      <c r="SDO377" s="50"/>
      <c r="SDP377" s="50"/>
      <c r="SDQ377" s="50"/>
      <c r="SDR377" s="50"/>
      <c r="SDS377" s="50"/>
      <c r="SDT377" s="50"/>
      <c r="SDU377" s="50"/>
      <c r="SDV377" s="50"/>
      <c r="SDW377" s="50"/>
      <c r="SDX377" s="50"/>
      <c r="SDY377" s="50"/>
      <c r="SDZ377" s="50"/>
      <c r="SEA377" s="50"/>
      <c r="SEB377" s="50"/>
      <c r="SEC377" s="50"/>
      <c r="SED377" s="50"/>
      <c r="SEE377" s="50"/>
      <c r="SEF377" s="50"/>
      <c r="SEG377" s="50"/>
      <c r="SEH377" s="50"/>
      <c r="SEI377" s="50"/>
      <c r="SEJ377" s="50"/>
      <c r="SEK377" s="50"/>
      <c r="SEL377" s="50"/>
      <c r="SEM377" s="50"/>
      <c r="SEN377" s="50"/>
      <c r="SEO377" s="50"/>
      <c r="SEP377" s="50"/>
      <c r="SEQ377" s="50"/>
      <c r="SER377" s="50"/>
      <c r="SES377" s="50"/>
      <c r="SET377" s="50"/>
      <c r="SEU377" s="50"/>
      <c r="SEV377" s="50"/>
      <c r="SEW377" s="50"/>
      <c r="SEX377" s="50"/>
      <c r="SEY377" s="50"/>
      <c r="SEZ377" s="50"/>
      <c r="SFA377" s="50"/>
      <c r="SFB377" s="50"/>
      <c r="SFC377" s="50"/>
      <c r="SFD377" s="50"/>
      <c r="SFE377" s="50"/>
      <c r="SFF377" s="50"/>
      <c r="SFG377" s="50"/>
      <c r="SFH377" s="50"/>
      <c r="SFI377" s="50"/>
      <c r="SFJ377" s="50"/>
      <c r="SFK377" s="50"/>
      <c r="SFL377" s="50"/>
      <c r="SFM377" s="50"/>
      <c r="SFN377" s="50"/>
      <c r="SFO377" s="50"/>
      <c r="SFP377" s="50"/>
      <c r="SFQ377" s="50"/>
      <c r="SFR377" s="50"/>
      <c r="SFS377" s="50"/>
      <c r="SFT377" s="50"/>
      <c r="SFU377" s="50"/>
      <c r="SFV377" s="50"/>
      <c r="SFW377" s="50"/>
      <c r="SFX377" s="50"/>
      <c r="SFY377" s="50"/>
      <c r="SFZ377" s="50"/>
      <c r="SGA377" s="50"/>
      <c r="SGB377" s="50"/>
      <c r="SGC377" s="50"/>
      <c r="SGD377" s="50"/>
      <c r="SGE377" s="50"/>
      <c r="SGF377" s="50"/>
      <c r="SGG377" s="50"/>
      <c r="SGH377" s="50"/>
      <c r="SGI377" s="50"/>
      <c r="SGJ377" s="50"/>
      <c r="SGK377" s="50"/>
      <c r="SGL377" s="50"/>
      <c r="SGM377" s="50"/>
      <c r="SGN377" s="50"/>
      <c r="SGO377" s="50"/>
      <c r="SGP377" s="50"/>
      <c r="SGQ377" s="50"/>
      <c r="SGR377" s="50"/>
      <c r="SGS377" s="50"/>
      <c r="SGT377" s="50"/>
      <c r="SGU377" s="50"/>
      <c r="SGV377" s="50"/>
      <c r="SGW377" s="50"/>
      <c r="SGX377" s="50"/>
      <c r="SGY377" s="50"/>
      <c r="SGZ377" s="50"/>
      <c r="SHA377" s="50"/>
      <c r="SHB377" s="50"/>
      <c r="SHC377" s="50"/>
      <c r="SHD377" s="50"/>
      <c r="SHE377" s="50"/>
      <c r="SHF377" s="50"/>
      <c r="SHG377" s="50"/>
      <c r="SHH377" s="50"/>
      <c r="SHI377" s="50"/>
      <c r="SHJ377" s="50"/>
      <c r="SHK377" s="50"/>
      <c r="SHL377" s="50"/>
      <c r="SHM377" s="50"/>
      <c r="SHN377" s="50"/>
      <c r="SHO377" s="50"/>
      <c r="SHP377" s="50"/>
      <c r="SHQ377" s="50"/>
      <c r="SHR377" s="50"/>
      <c r="SHS377" s="50"/>
      <c r="SHT377" s="50"/>
      <c r="SHU377" s="50"/>
      <c r="SHV377" s="50"/>
      <c r="SHW377" s="50"/>
      <c r="SHX377" s="50"/>
      <c r="SHY377" s="50"/>
      <c r="SHZ377" s="50"/>
      <c r="SIA377" s="50"/>
      <c r="SIB377" s="50"/>
      <c r="SIC377" s="50"/>
      <c r="SID377" s="50"/>
      <c r="SIE377" s="50"/>
      <c r="SIF377" s="50"/>
      <c r="SIG377" s="50"/>
      <c r="SIH377" s="50"/>
      <c r="SII377" s="50"/>
      <c r="SIJ377" s="50"/>
      <c r="SIK377" s="50"/>
      <c r="SIL377" s="50"/>
      <c r="SIM377" s="50"/>
      <c r="SIN377" s="50"/>
      <c r="SIO377" s="50"/>
      <c r="SIP377" s="50"/>
      <c r="SIQ377" s="50"/>
      <c r="SIR377" s="50"/>
      <c r="SIS377" s="50"/>
      <c r="SIT377" s="50"/>
      <c r="SIU377" s="50"/>
      <c r="SIV377" s="50"/>
      <c r="SIW377" s="50"/>
      <c r="SIX377" s="50"/>
      <c r="SIY377" s="50"/>
      <c r="SIZ377" s="50"/>
      <c r="SJA377" s="50"/>
      <c r="SJB377" s="50"/>
      <c r="SJC377" s="50"/>
      <c r="SJD377" s="50"/>
      <c r="SJE377" s="50"/>
      <c r="SJF377" s="50"/>
      <c r="SJG377" s="50"/>
      <c r="SJH377" s="50"/>
      <c r="SJI377" s="50"/>
      <c r="SJJ377" s="50"/>
      <c r="SJK377" s="50"/>
      <c r="SJL377" s="50"/>
      <c r="SJM377" s="50"/>
      <c r="SJN377" s="50"/>
      <c r="SJO377" s="50"/>
      <c r="SJP377" s="50"/>
      <c r="SJQ377" s="50"/>
      <c r="SJR377" s="50"/>
      <c r="SJS377" s="50"/>
      <c r="SJT377" s="50"/>
      <c r="SJU377" s="50"/>
      <c r="SJV377" s="50"/>
      <c r="SJW377" s="50"/>
      <c r="SJX377" s="50"/>
      <c r="SJY377" s="50"/>
      <c r="SJZ377" s="50"/>
      <c r="SKA377" s="50"/>
      <c r="SKB377" s="50"/>
      <c r="SKC377" s="50"/>
      <c r="SKD377" s="50"/>
      <c r="SKE377" s="50"/>
      <c r="SKF377" s="50"/>
      <c r="SKG377" s="50"/>
      <c r="SKH377" s="50"/>
      <c r="SKI377" s="50"/>
      <c r="SKJ377" s="50"/>
      <c r="SKK377" s="50"/>
      <c r="SKL377" s="50"/>
      <c r="SKM377" s="50"/>
      <c r="SKN377" s="50"/>
      <c r="SKO377" s="50"/>
      <c r="SKP377" s="50"/>
      <c r="SKQ377" s="50"/>
      <c r="SKR377" s="50"/>
      <c r="SKS377" s="50"/>
      <c r="SKT377" s="50"/>
      <c r="SKU377" s="50"/>
      <c r="SKV377" s="50"/>
      <c r="SKW377" s="50"/>
      <c r="SKX377" s="50"/>
      <c r="SKY377" s="50"/>
      <c r="SKZ377" s="50"/>
      <c r="SLA377" s="50"/>
      <c r="SLB377" s="50"/>
      <c r="SLC377" s="50"/>
      <c r="SLD377" s="50"/>
      <c r="SLE377" s="50"/>
      <c r="SLF377" s="50"/>
      <c r="SLG377" s="50"/>
      <c r="SLH377" s="50"/>
      <c r="SLI377" s="50"/>
      <c r="SLJ377" s="50"/>
      <c r="SLK377" s="50"/>
      <c r="SLL377" s="50"/>
      <c r="SLM377" s="50"/>
      <c r="SLN377" s="50"/>
      <c r="SLO377" s="50"/>
      <c r="SLP377" s="50"/>
      <c r="SLQ377" s="50"/>
      <c r="SLR377" s="50"/>
      <c r="SLS377" s="50"/>
      <c r="SLT377" s="50"/>
      <c r="SLU377" s="50"/>
      <c r="SLV377" s="50"/>
      <c r="SLW377" s="50"/>
      <c r="SLX377" s="50"/>
      <c r="SLY377" s="50"/>
      <c r="SLZ377" s="50"/>
      <c r="SMA377" s="50"/>
      <c r="SMB377" s="50"/>
      <c r="SMC377" s="50"/>
      <c r="SMD377" s="50"/>
      <c r="SME377" s="50"/>
      <c r="SMF377" s="50"/>
      <c r="SMG377" s="50"/>
      <c r="SMH377" s="50"/>
      <c r="SMI377" s="50"/>
      <c r="SMJ377" s="50"/>
      <c r="SMK377" s="50"/>
      <c r="SML377" s="50"/>
      <c r="SMM377" s="50"/>
      <c r="SMN377" s="50"/>
      <c r="SMO377" s="50"/>
      <c r="SMP377" s="50"/>
      <c r="SMQ377" s="50"/>
      <c r="SMR377" s="50"/>
      <c r="SMS377" s="50"/>
      <c r="SMT377" s="50"/>
      <c r="SMU377" s="50"/>
      <c r="SMV377" s="50"/>
      <c r="SMW377" s="50"/>
      <c r="SMX377" s="50"/>
      <c r="SMY377" s="50"/>
      <c r="SMZ377" s="50"/>
      <c r="SNA377" s="50"/>
      <c r="SNB377" s="50"/>
      <c r="SNC377" s="50"/>
      <c r="SND377" s="50"/>
      <c r="SNE377" s="50"/>
      <c r="SNF377" s="50"/>
      <c r="SNG377" s="50"/>
      <c r="SNH377" s="50"/>
      <c r="SNI377" s="50"/>
      <c r="SNJ377" s="50"/>
      <c r="SNK377" s="50"/>
      <c r="SNL377" s="50"/>
      <c r="SNM377" s="50"/>
      <c r="SNN377" s="50"/>
      <c r="SNO377" s="50"/>
      <c r="SNP377" s="50"/>
      <c r="SNQ377" s="50"/>
      <c r="SNR377" s="50"/>
      <c r="SNS377" s="50"/>
      <c r="SNT377" s="50"/>
      <c r="SNU377" s="50"/>
      <c r="SNV377" s="50"/>
      <c r="SNW377" s="50"/>
      <c r="SNX377" s="50"/>
      <c r="SNY377" s="50"/>
      <c r="SNZ377" s="50"/>
      <c r="SOA377" s="50"/>
      <c r="SOB377" s="50"/>
      <c r="SOC377" s="50"/>
      <c r="SOD377" s="50"/>
      <c r="SOE377" s="50"/>
      <c r="SOF377" s="50"/>
      <c r="SOG377" s="50"/>
      <c r="SOH377" s="50"/>
      <c r="SOI377" s="50"/>
      <c r="SOJ377" s="50"/>
      <c r="SOK377" s="50"/>
      <c r="SOL377" s="50"/>
      <c r="SOM377" s="50"/>
      <c r="SON377" s="50"/>
      <c r="SOO377" s="50"/>
      <c r="SOP377" s="50"/>
      <c r="SOQ377" s="50"/>
      <c r="SOR377" s="50"/>
      <c r="SOS377" s="50"/>
      <c r="SOT377" s="50"/>
      <c r="SOU377" s="50"/>
      <c r="SOV377" s="50"/>
      <c r="SOW377" s="50"/>
      <c r="SOX377" s="50"/>
      <c r="SOY377" s="50"/>
      <c r="SOZ377" s="50"/>
      <c r="SPA377" s="50"/>
      <c r="SPB377" s="50"/>
      <c r="SPC377" s="50"/>
      <c r="SPD377" s="50"/>
      <c r="SPE377" s="50"/>
      <c r="SPF377" s="50"/>
      <c r="SPG377" s="50"/>
      <c r="SPH377" s="50"/>
      <c r="SPI377" s="50"/>
      <c r="SPJ377" s="50"/>
      <c r="SPK377" s="50"/>
      <c r="SPL377" s="50"/>
      <c r="SPM377" s="50"/>
      <c r="SPN377" s="50"/>
      <c r="SPO377" s="50"/>
      <c r="SPP377" s="50"/>
      <c r="SPQ377" s="50"/>
      <c r="SPR377" s="50"/>
      <c r="SPS377" s="50"/>
      <c r="SPT377" s="50"/>
      <c r="SPU377" s="50"/>
      <c r="SPV377" s="50"/>
      <c r="SPW377" s="50"/>
      <c r="SPX377" s="50"/>
      <c r="SPY377" s="50"/>
      <c r="SPZ377" s="50"/>
      <c r="SQA377" s="50"/>
      <c r="SQB377" s="50"/>
      <c r="SQC377" s="50"/>
      <c r="SQD377" s="50"/>
      <c r="SQE377" s="50"/>
      <c r="SQF377" s="50"/>
      <c r="SQG377" s="50"/>
      <c r="SQH377" s="50"/>
      <c r="SQI377" s="50"/>
      <c r="SQJ377" s="50"/>
      <c r="SQK377" s="50"/>
      <c r="SQL377" s="50"/>
      <c r="SQM377" s="50"/>
      <c r="SQN377" s="50"/>
      <c r="SQO377" s="50"/>
      <c r="SQP377" s="50"/>
      <c r="SQQ377" s="50"/>
      <c r="SQR377" s="50"/>
      <c r="SQS377" s="50"/>
      <c r="SQT377" s="50"/>
      <c r="SQU377" s="50"/>
      <c r="SQV377" s="50"/>
      <c r="SQW377" s="50"/>
      <c r="SQX377" s="50"/>
      <c r="SQY377" s="50"/>
      <c r="SQZ377" s="50"/>
      <c r="SRA377" s="50"/>
      <c r="SRB377" s="50"/>
      <c r="SRC377" s="50"/>
      <c r="SRD377" s="50"/>
      <c r="SRE377" s="50"/>
      <c r="SRF377" s="50"/>
      <c r="SRG377" s="50"/>
      <c r="SRH377" s="50"/>
      <c r="SRI377" s="50"/>
      <c r="SRJ377" s="50"/>
      <c r="SRK377" s="50"/>
      <c r="SRL377" s="50"/>
      <c r="SRM377" s="50"/>
      <c r="SRN377" s="50"/>
      <c r="SRO377" s="50"/>
      <c r="SRP377" s="50"/>
      <c r="SRQ377" s="50"/>
      <c r="SRR377" s="50"/>
      <c r="SRS377" s="50"/>
      <c r="SRT377" s="50"/>
      <c r="SRU377" s="50"/>
      <c r="SRV377" s="50"/>
      <c r="SRW377" s="50"/>
      <c r="SRX377" s="50"/>
      <c r="SRY377" s="50"/>
      <c r="SRZ377" s="50"/>
      <c r="SSA377" s="50"/>
      <c r="SSB377" s="50"/>
      <c r="SSC377" s="50"/>
      <c r="SSD377" s="50"/>
      <c r="SSE377" s="50"/>
      <c r="SSF377" s="50"/>
      <c r="SSG377" s="50"/>
      <c r="SSH377" s="50"/>
      <c r="SSI377" s="50"/>
      <c r="SSJ377" s="50"/>
      <c r="SSK377" s="50"/>
      <c r="SSL377" s="50"/>
      <c r="SSM377" s="50"/>
      <c r="SSN377" s="50"/>
      <c r="SSO377" s="50"/>
      <c r="SSP377" s="50"/>
      <c r="SSQ377" s="50"/>
      <c r="SSR377" s="50"/>
      <c r="SSS377" s="50"/>
      <c r="SST377" s="50"/>
      <c r="SSU377" s="50"/>
      <c r="SSV377" s="50"/>
      <c r="SSW377" s="50"/>
      <c r="SSX377" s="50"/>
      <c r="SSY377" s="50"/>
      <c r="SSZ377" s="50"/>
      <c r="STA377" s="50"/>
      <c r="STB377" s="50"/>
      <c r="STC377" s="50"/>
      <c r="STD377" s="50"/>
      <c r="STE377" s="50"/>
      <c r="STF377" s="50"/>
      <c r="STG377" s="50"/>
      <c r="STH377" s="50"/>
      <c r="STI377" s="50"/>
      <c r="STJ377" s="50"/>
      <c r="STK377" s="50"/>
      <c r="STL377" s="50"/>
      <c r="STM377" s="50"/>
      <c r="STN377" s="50"/>
      <c r="STO377" s="50"/>
      <c r="STP377" s="50"/>
      <c r="STQ377" s="50"/>
      <c r="STR377" s="50"/>
      <c r="STS377" s="50"/>
      <c r="STT377" s="50"/>
      <c r="STU377" s="50"/>
      <c r="STV377" s="50"/>
      <c r="STW377" s="50"/>
      <c r="STX377" s="50"/>
      <c r="STY377" s="50"/>
      <c r="STZ377" s="50"/>
      <c r="SUA377" s="50"/>
      <c r="SUB377" s="50"/>
      <c r="SUC377" s="50"/>
      <c r="SUD377" s="50"/>
      <c r="SUE377" s="50"/>
      <c r="SUF377" s="50"/>
      <c r="SUG377" s="50"/>
      <c r="SUH377" s="50"/>
      <c r="SUI377" s="50"/>
      <c r="SUJ377" s="50"/>
      <c r="SUK377" s="50"/>
      <c r="SUL377" s="50"/>
      <c r="SUM377" s="50"/>
      <c r="SUN377" s="50"/>
      <c r="SUO377" s="50"/>
      <c r="SUP377" s="50"/>
      <c r="SUQ377" s="50"/>
      <c r="SUR377" s="50"/>
      <c r="SUS377" s="50"/>
      <c r="SUT377" s="50"/>
      <c r="SUU377" s="50"/>
      <c r="SUV377" s="50"/>
      <c r="SUW377" s="50"/>
      <c r="SUX377" s="50"/>
      <c r="SUY377" s="50"/>
      <c r="SUZ377" s="50"/>
      <c r="SVA377" s="50"/>
      <c r="SVB377" s="50"/>
      <c r="SVC377" s="50"/>
      <c r="SVD377" s="50"/>
      <c r="SVE377" s="50"/>
      <c r="SVF377" s="50"/>
      <c r="SVG377" s="50"/>
      <c r="SVH377" s="50"/>
      <c r="SVI377" s="50"/>
      <c r="SVJ377" s="50"/>
      <c r="SVK377" s="50"/>
      <c r="SVL377" s="50"/>
      <c r="SVM377" s="50"/>
      <c r="SVN377" s="50"/>
      <c r="SVO377" s="50"/>
      <c r="SVP377" s="50"/>
      <c r="SVQ377" s="50"/>
      <c r="SVR377" s="50"/>
      <c r="SVS377" s="50"/>
      <c r="SVT377" s="50"/>
      <c r="SVU377" s="50"/>
      <c r="SVV377" s="50"/>
      <c r="SVW377" s="50"/>
      <c r="SVX377" s="50"/>
      <c r="SVY377" s="50"/>
      <c r="SVZ377" s="50"/>
      <c r="SWA377" s="50"/>
      <c r="SWB377" s="50"/>
      <c r="SWC377" s="50"/>
      <c r="SWD377" s="50"/>
      <c r="SWE377" s="50"/>
      <c r="SWF377" s="50"/>
      <c r="SWG377" s="50"/>
      <c r="SWH377" s="50"/>
      <c r="SWI377" s="50"/>
      <c r="SWJ377" s="50"/>
      <c r="SWK377" s="50"/>
      <c r="SWL377" s="50"/>
      <c r="SWM377" s="50"/>
      <c r="SWN377" s="50"/>
      <c r="SWO377" s="50"/>
      <c r="SWP377" s="50"/>
      <c r="SWQ377" s="50"/>
      <c r="SWR377" s="50"/>
      <c r="SWS377" s="50"/>
      <c r="SWT377" s="50"/>
      <c r="SWU377" s="50"/>
      <c r="SWV377" s="50"/>
      <c r="SWW377" s="50"/>
      <c r="SWX377" s="50"/>
      <c r="SWY377" s="50"/>
      <c r="SWZ377" s="50"/>
      <c r="SXA377" s="50"/>
      <c r="SXB377" s="50"/>
      <c r="SXC377" s="50"/>
      <c r="SXD377" s="50"/>
      <c r="SXE377" s="50"/>
      <c r="SXF377" s="50"/>
      <c r="SXG377" s="50"/>
      <c r="SXH377" s="50"/>
      <c r="SXI377" s="50"/>
      <c r="SXJ377" s="50"/>
      <c r="SXK377" s="50"/>
      <c r="SXL377" s="50"/>
      <c r="SXM377" s="50"/>
      <c r="SXN377" s="50"/>
      <c r="SXO377" s="50"/>
      <c r="SXP377" s="50"/>
      <c r="SXQ377" s="50"/>
      <c r="SXR377" s="50"/>
      <c r="SXS377" s="50"/>
      <c r="SXT377" s="50"/>
      <c r="SXU377" s="50"/>
      <c r="SXV377" s="50"/>
      <c r="SXW377" s="50"/>
      <c r="SXX377" s="50"/>
      <c r="SXY377" s="50"/>
      <c r="SXZ377" s="50"/>
      <c r="SYA377" s="50"/>
      <c r="SYB377" s="50"/>
      <c r="SYC377" s="50"/>
      <c r="SYD377" s="50"/>
      <c r="SYE377" s="50"/>
      <c r="SYF377" s="50"/>
      <c r="SYG377" s="50"/>
      <c r="SYH377" s="50"/>
      <c r="SYI377" s="50"/>
      <c r="SYJ377" s="50"/>
      <c r="SYK377" s="50"/>
      <c r="SYL377" s="50"/>
      <c r="SYM377" s="50"/>
      <c r="SYN377" s="50"/>
      <c r="SYO377" s="50"/>
      <c r="SYP377" s="50"/>
      <c r="SYQ377" s="50"/>
      <c r="SYR377" s="50"/>
      <c r="SYS377" s="50"/>
      <c r="SYT377" s="50"/>
      <c r="SYU377" s="50"/>
      <c r="SYV377" s="50"/>
      <c r="SYW377" s="50"/>
      <c r="SYX377" s="50"/>
      <c r="SYY377" s="50"/>
      <c r="SYZ377" s="50"/>
      <c r="SZA377" s="50"/>
      <c r="SZB377" s="50"/>
      <c r="SZC377" s="50"/>
      <c r="SZD377" s="50"/>
      <c r="SZE377" s="50"/>
      <c r="SZF377" s="50"/>
      <c r="SZG377" s="50"/>
      <c r="SZH377" s="50"/>
      <c r="SZI377" s="50"/>
      <c r="SZJ377" s="50"/>
      <c r="SZK377" s="50"/>
      <c r="SZL377" s="50"/>
      <c r="SZM377" s="50"/>
      <c r="SZN377" s="50"/>
      <c r="SZO377" s="50"/>
      <c r="SZP377" s="50"/>
      <c r="SZQ377" s="50"/>
      <c r="SZR377" s="50"/>
      <c r="SZS377" s="50"/>
      <c r="SZT377" s="50"/>
      <c r="SZU377" s="50"/>
      <c r="SZV377" s="50"/>
      <c r="SZW377" s="50"/>
      <c r="SZX377" s="50"/>
      <c r="SZY377" s="50"/>
      <c r="SZZ377" s="50"/>
      <c r="TAA377" s="50"/>
      <c r="TAB377" s="50"/>
      <c r="TAC377" s="50"/>
      <c r="TAD377" s="50"/>
      <c r="TAE377" s="50"/>
      <c r="TAF377" s="50"/>
      <c r="TAG377" s="50"/>
      <c r="TAH377" s="50"/>
      <c r="TAI377" s="50"/>
      <c r="TAJ377" s="50"/>
      <c r="TAK377" s="50"/>
      <c r="TAL377" s="50"/>
      <c r="TAM377" s="50"/>
      <c r="TAN377" s="50"/>
      <c r="TAO377" s="50"/>
      <c r="TAP377" s="50"/>
      <c r="TAQ377" s="50"/>
      <c r="TAR377" s="50"/>
      <c r="TAS377" s="50"/>
      <c r="TAT377" s="50"/>
      <c r="TAU377" s="50"/>
      <c r="TAV377" s="50"/>
      <c r="TAW377" s="50"/>
      <c r="TAX377" s="50"/>
      <c r="TAY377" s="50"/>
      <c r="TAZ377" s="50"/>
      <c r="TBA377" s="50"/>
      <c r="TBB377" s="50"/>
      <c r="TBC377" s="50"/>
      <c r="TBD377" s="50"/>
      <c r="TBE377" s="50"/>
      <c r="TBF377" s="50"/>
      <c r="TBG377" s="50"/>
      <c r="TBH377" s="50"/>
      <c r="TBI377" s="50"/>
      <c r="TBJ377" s="50"/>
      <c r="TBK377" s="50"/>
      <c r="TBL377" s="50"/>
      <c r="TBM377" s="50"/>
      <c r="TBN377" s="50"/>
      <c r="TBO377" s="50"/>
      <c r="TBP377" s="50"/>
      <c r="TBQ377" s="50"/>
      <c r="TBR377" s="50"/>
      <c r="TBS377" s="50"/>
      <c r="TBT377" s="50"/>
      <c r="TBU377" s="50"/>
      <c r="TBV377" s="50"/>
      <c r="TBW377" s="50"/>
      <c r="TBX377" s="50"/>
      <c r="TBY377" s="50"/>
      <c r="TBZ377" s="50"/>
      <c r="TCA377" s="50"/>
      <c r="TCB377" s="50"/>
      <c r="TCC377" s="50"/>
      <c r="TCD377" s="50"/>
      <c r="TCE377" s="50"/>
      <c r="TCF377" s="50"/>
      <c r="TCG377" s="50"/>
      <c r="TCH377" s="50"/>
      <c r="TCI377" s="50"/>
      <c r="TCJ377" s="50"/>
      <c r="TCK377" s="50"/>
      <c r="TCL377" s="50"/>
      <c r="TCM377" s="50"/>
      <c r="TCN377" s="50"/>
      <c r="TCO377" s="50"/>
      <c r="TCP377" s="50"/>
      <c r="TCQ377" s="50"/>
      <c r="TCR377" s="50"/>
      <c r="TCS377" s="50"/>
      <c r="TCT377" s="50"/>
      <c r="TCU377" s="50"/>
      <c r="TCV377" s="50"/>
      <c r="TCW377" s="50"/>
      <c r="TCX377" s="50"/>
      <c r="TCY377" s="50"/>
      <c r="TCZ377" s="50"/>
      <c r="TDA377" s="50"/>
      <c r="TDB377" s="50"/>
      <c r="TDC377" s="50"/>
      <c r="TDD377" s="50"/>
      <c r="TDE377" s="50"/>
      <c r="TDF377" s="50"/>
      <c r="TDG377" s="50"/>
      <c r="TDH377" s="50"/>
      <c r="TDI377" s="50"/>
      <c r="TDJ377" s="50"/>
      <c r="TDK377" s="50"/>
      <c r="TDL377" s="50"/>
      <c r="TDM377" s="50"/>
      <c r="TDN377" s="50"/>
      <c r="TDO377" s="50"/>
      <c r="TDP377" s="50"/>
      <c r="TDQ377" s="50"/>
      <c r="TDR377" s="50"/>
      <c r="TDS377" s="50"/>
      <c r="TDT377" s="50"/>
      <c r="TDU377" s="50"/>
      <c r="TDV377" s="50"/>
      <c r="TDW377" s="50"/>
      <c r="TDX377" s="50"/>
      <c r="TDY377" s="50"/>
      <c r="TDZ377" s="50"/>
      <c r="TEA377" s="50"/>
      <c r="TEB377" s="50"/>
      <c r="TEC377" s="50"/>
      <c r="TED377" s="50"/>
      <c r="TEE377" s="50"/>
      <c r="TEF377" s="50"/>
      <c r="TEG377" s="50"/>
      <c r="TEH377" s="50"/>
      <c r="TEI377" s="50"/>
      <c r="TEJ377" s="50"/>
      <c r="TEK377" s="50"/>
      <c r="TEL377" s="50"/>
      <c r="TEM377" s="50"/>
      <c r="TEN377" s="50"/>
      <c r="TEO377" s="50"/>
      <c r="TEP377" s="50"/>
      <c r="TEQ377" s="50"/>
      <c r="TER377" s="50"/>
      <c r="TES377" s="50"/>
      <c r="TET377" s="50"/>
      <c r="TEU377" s="50"/>
      <c r="TEV377" s="50"/>
      <c r="TEW377" s="50"/>
      <c r="TEX377" s="50"/>
      <c r="TEY377" s="50"/>
      <c r="TEZ377" s="50"/>
      <c r="TFA377" s="50"/>
      <c r="TFB377" s="50"/>
      <c r="TFC377" s="50"/>
      <c r="TFD377" s="50"/>
      <c r="TFE377" s="50"/>
      <c r="TFF377" s="50"/>
      <c r="TFG377" s="50"/>
      <c r="TFH377" s="50"/>
      <c r="TFI377" s="50"/>
      <c r="TFJ377" s="50"/>
      <c r="TFK377" s="50"/>
      <c r="TFL377" s="50"/>
      <c r="TFM377" s="50"/>
      <c r="TFN377" s="50"/>
      <c r="TFO377" s="50"/>
      <c r="TFP377" s="50"/>
      <c r="TFQ377" s="50"/>
      <c r="TFR377" s="50"/>
      <c r="TFS377" s="50"/>
      <c r="TFT377" s="50"/>
      <c r="TFU377" s="50"/>
      <c r="TFV377" s="50"/>
      <c r="TFW377" s="50"/>
      <c r="TFX377" s="50"/>
      <c r="TFY377" s="50"/>
      <c r="TFZ377" s="50"/>
      <c r="TGA377" s="50"/>
      <c r="TGB377" s="50"/>
      <c r="TGC377" s="50"/>
      <c r="TGD377" s="50"/>
      <c r="TGE377" s="50"/>
      <c r="TGF377" s="50"/>
      <c r="TGG377" s="50"/>
      <c r="TGH377" s="50"/>
      <c r="TGI377" s="50"/>
      <c r="TGJ377" s="50"/>
      <c r="TGK377" s="50"/>
      <c r="TGL377" s="50"/>
      <c r="TGM377" s="50"/>
      <c r="TGN377" s="50"/>
      <c r="TGO377" s="50"/>
      <c r="TGP377" s="50"/>
      <c r="TGQ377" s="50"/>
      <c r="TGR377" s="50"/>
      <c r="TGS377" s="50"/>
      <c r="TGT377" s="50"/>
      <c r="TGU377" s="50"/>
      <c r="TGV377" s="50"/>
      <c r="TGW377" s="50"/>
      <c r="TGX377" s="50"/>
      <c r="TGY377" s="50"/>
      <c r="TGZ377" s="50"/>
      <c r="THA377" s="50"/>
      <c r="THB377" s="50"/>
      <c r="THC377" s="50"/>
      <c r="THD377" s="50"/>
      <c r="THE377" s="50"/>
      <c r="THF377" s="50"/>
      <c r="THG377" s="50"/>
      <c r="THH377" s="50"/>
      <c r="THI377" s="50"/>
      <c r="THJ377" s="50"/>
      <c r="THK377" s="50"/>
      <c r="THL377" s="50"/>
      <c r="THM377" s="50"/>
      <c r="THN377" s="50"/>
      <c r="THO377" s="50"/>
      <c r="THP377" s="50"/>
      <c r="THQ377" s="50"/>
      <c r="THR377" s="50"/>
      <c r="THS377" s="50"/>
      <c r="THT377" s="50"/>
      <c r="THU377" s="50"/>
      <c r="THV377" s="50"/>
      <c r="THW377" s="50"/>
      <c r="THX377" s="50"/>
      <c r="THY377" s="50"/>
      <c r="THZ377" s="50"/>
      <c r="TIA377" s="50"/>
      <c r="TIB377" s="50"/>
      <c r="TIC377" s="50"/>
      <c r="TID377" s="50"/>
      <c r="TIE377" s="50"/>
      <c r="TIF377" s="50"/>
      <c r="TIG377" s="50"/>
      <c r="TIH377" s="50"/>
      <c r="TII377" s="50"/>
      <c r="TIJ377" s="50"/>
      <c r="TIK377" s="50"/>
      <c r="TIL377" s="50"/>
      <c r="TIM377" s="50"/>
      <c r="TIN377" s="50"/>
      <c r="TIO377" s="50"/>
      <c r="TIP377" s="50"/>
      <c r="TIQ377" s="50"/>
      <c r="TIR377" s="50"/>
      <c r="TIS377" s="50"/>
      <c r="TIT377" s="50"/>
      <c r="TIU377" s="50"/>
      <c r="TIV377" s="50"/>
      <c r="TIW377" s="50"/>
      <c r="TIX377" s="50"/>
      <c r="TIY377" s="50"/>
      <c r="TIZ377" s="50"/>
      <c r="TJA377" s="50"/>
      <c r="TJB377" s="50"/>
      <c r="TJC377" s="50"/>
      <c r="TJD377" s="50"/>
      <c r="TJE377" s="50"/>
      <c r="TJF377" s="50"/>
      <c r="TJG377" s="50"/>
      <c r="TJH377" s="50"/>
      <c r="TJI377" s="50"/>
      <c r="TJJ377" s="50"/>
      <c r="TJK377" s="50"/>
      <c r="TJL377" s="50"/>
      <c r="TJM377" s="50"/>
      <c r="TJN377" s="50"/>
      <c r="TJO377" s="50"/>
      <c r="TJP377" s="50"/>
      <c r="TJQ377" s="50"/>
      <c r="TJR377" s="50"/>
      <c r="TJS377" s="50"/>
      <c r="TJT377" s="50"/>
      <c r="TJU377" s="50"/>
      <c r="TJV377" s="50"/>
      <c r="TJW377" s="50"/>
      <c r="TJX377" s="50"/>
      <c r="TJY377" s="50"/>
      <c r="TJZ377" s="50"/>
      <c r="TKA377" s="50"/>
      <c r="TKB377" s="50"/>
      <c r="TKC377" s="50"/>
      <c r="TKD377" s="50"/>
      <c r="TKE377" s="50"/>
      <c r="TKF377" s="50"/>
      <c r="TKG377" s="50"/>
      <c r="TKH377" s="50"/>
      <c r="TKI377" s="50"/>
      <c r="TKJ377" s="50"/>
      <c r="TKK377" s="50"/>
      <c r="TKL377" s="50"/>
      <c r="TKM377" s="50"/>
      <c r="TKN377" s="50"/>
      <c r="TKO377" s="50"/>
      <c r="TKP377" s="50"/>
      <c r="TKQ377" s="50"/>
      <c r="TKR377" s="50"/>
      <c r="TKS377" s="50"/>
      <c r="TKT377" s="50"/>
      <c r="TKU377" s="50"/>
      <c r="TKV377" s="50"/>
      <c r="TKW377" s="50"/>
      <c r="TKX377" s="50"/>
      <c r="TKY377" s="50"/>
      <c r="TKZ377" s="50"/>
      <c r="TLA377" s="50"/>
      <c r="TLB377" s="50"/>
      <c r="TLC377" s="50"/>
      <c r="TLD377" s="50"/>
      <c r="TLE377" s="50"/>
      <c r="TLF377" s="50"/>
      <c r="TLG377" s="50"/>
      <c r="TLH377" s="50"/>
      <c r="TLI377" s="50"/>
      <c r="TLJ377" s="50"/>
      <c r="TLK377" s="50"/>
      <c r="TLL377" s="50"/>
      <c r="TLM377" s="50"/>
      <c r="TLN377" s="50"/>
      <c r="TLO377" s="50"/>
      <c r="TLP377" s="50"/>
      <c r="TLQ377" s="50"/>
      <c r="TLR377" s="50"/>
      <c r="TLS377" s="50"/>
      <c r="TLT377" s="50"/>
      <c r="TLU377" s="50"/>
      <c r="TLV377" s="50"/>
      <c r="TLW377" s="50"/>
      <c r="TLX377" s="50"/>
      <c r="TLY377" s="50"/>
      <c r="TLZ377" s="50"/>
      <c r="TMA377" s="50"/>
      <c r="TMB377" s="50"/>
      <c r="TMC377" s="50"/>
      <c r="TMD377" s="50"/>
      <c r="TME377" s="50"/>
      <c r="TMF377" s="50"/>
      <c r="TMG377" s="50"/>
      <c r="TMH377" s="50"/>
      <c r="TMI377" s="50"/>
      <c r="TMJ377" s="50"/>
      <c r="TMK377" s="50"/>
      <c r="TML377" s="50"/>
      <c r="TMM377" s="50"/>
      <c r="TMN377" s="50"/>
      <c r="TMO377" s="50"/>
      <c r="TMP377" s="50"/>
      <c r="TMQ377" s="50"/>
      <c r="TMR377" s="50"/>
      <c r="TMS377" s="50"/>
      <c r="TMT377" s="50"/>
      <c r="TMU377" s="50"/>
      <c r="TMV377" s="50"/>
      <c r="TMW377" s="50"/>
      <c r="TMX377" s="50"/>
      <c r="TMY377" s="50"/>
      <c r="TMZ377" s="50"/>
      <c r="TNA377" s="50"/>
      <c r="TNB377" s="50"/>
      <c r="TNC377" s="50"/>
      <c r="TND377" s="50"/>
      <c r="TNE377" s="50"/>
      <c r="TNF377" s="50"/>
      <c r="TNG377" s="50"/>
      <c r="TNH377" s="50"/>
      <c r="TNI377" s="50"/>
      <c r="TNJ377" s="50"/>
      <c r="TNK377" s="50"/>
      <c r="TNL377" s="50"/>
      <c r="TNM377" s="50"/>
      <c r="TNN377" s="50"/>
      <c r="TNO377" s="50"/>
      <c r="TNP377" s="50"/>
      <c r="TNQ377" s="50"/>
      <c r="TNR377" s="50"/>
      <c r="TNS377" s="50"/>
      <c r="TNT377" s="50"/>
      <c r="TNU377" s="50"/>
      <c r="TNV377" s="50"/>
      <c r="TNW377" s="50"/>
      <c r="TNX377" s="50"/>
      <c r="TNY377" s="50"/>
      <c r="TNZ377" s="50"/>
      <c r="TOA377" s="50"/>
      <c r="TOB377" s="50"/>
      <c r="TOC377" s="50"/>
      <c r="TOD377" s="50"/>
      <c r="TOE377" s="50"/>
      <c r="TOF377" s="50"/>
      <c r="TOG377" s="50"/>
      <c r="TOH377" s="50"/>
      <c r="TOI377" s="50"/>
      <c r="TOJ377" s="50"/>
      <c r="TOK377" s="50"/>
      <c r="TOL377" s="50"/>
      <c r="TOM377" s="50"/>
      <c r="TON377" s="50"/>
      <c r="TOO377" s="50"/>
      <c r="TOP377" s="50"/>
      <c r="TOQ377" s="50"/>
      <c r="TOR377" s="50"/>
      <c r="TOS377" s="50"/>
      <c r="TOT377" s="50"/>
      <c r="TOU377" s="50"/>
      <c r="TOV377" s="50"/>
      <c r="TOW377" s="50"/>
      <c r="TOX377" s="50"/>
      <c r="TOY377" s="50"/>
      <c r="TOZ377" s="50"/>
      <c r="TPA377" s="50"/>
      <c r="TPB377" s="50"/>
      <c r="TPC377" s="50"/>
      <c r="TPD377" s="50"/>
      <c r="TPE377" s="50"/>
      <c r="TPF377" s="50"/>
      <c r="TPG377" s="50"/>
      <c r="TPH377" s="50"/>
      <c r="TPI377" s="50"/>
      <c r="TPJ377" s="50"/>
      <c r="TPK377" s="50"/>
      <c r="TPL377" s="50"/>
      <c r="TPM377" s="50"/>
      <c r="TPN377" s="50"/>
      <c r="TPO377" s="50"/>
      <c r="TPP377" s="50"/>
      <c r="TPQ377" s="50"/>
      <c r="TPR377" s="50"/>
      <c r="TPS377" s="50"/>
      <c r="TPT377" s="50"/>
      <c r="TPU377" s="50"/>
      <c r="TPV377" s="50"/>
      <c r="TPW377" s="50"/>
      <c r="TPX377" s="50"/>
      <c r="TPY377" s="50"/>
      <c r="TPZ377" s="50"/>
      <c r="TQA377" s="50"/>
      <c r="TQB377" s="50"/>
      <c r="TQC377" s="50"/>
      <c r="TQD377" s="50"/>
      <c r="TQE377" s="50"/>
      <c r="TQF377" s="50"/>
      <c r="TQG377" s="50"/>
      <c r="TQH377" s="50"/>
      <c r="TQI377" s="50"/>
      <c r="TQJ377" s="50"/>
      <c r="TQK377" s="50"/>
      <c r="TQL377" s="50"/>
      <c r="TQM377" s="50"/>
      <c r="TQN377" s="50"/>
      <c r="TQO377" s="50"/>
      <c r="TQP377" s="50"/>
      <c r="TQQ377" s="50"/>
      <c r="TQR377" s="50"/>
      <c r="TQS377" s="50"/>
      <c r="TQT377" s="50"/>
      <c r="TQU377" s="50"/>
      <c r="TQV377" s="50"/>
      <c r="TQW377" s="50"/>
      <c r="TQX377" s="50"/>
      <c r="TQY377" s="50"/>
      <c r="TQZ377" s="50"/>
      <c r="TRA377" s="50"/>
      <c r="TRB377" s="50"/>
      <c r="TRC377" s="50"/>
      <c r="TRD377" s="50"/>
      <c r="TRE377" s="50"/>
      <c r="TRF377" s="50"/>
      <c r="TRG377" s="50"/>
      <c r="TRH377" s="50"/>
      <c r="TRI377" s="50"/>
      <c r="TRJ377" s="50"/>
      <c r="TRK377" s="50"/>
      <c r="TRL377" s="50"/>
      <c r="TRM377" s="50"/>
      <c r="TRN377" s="50"/>
      <c r="TRO377" s="50"/>
      <c r="TRP377" s="50"/>
      <c r="TRQ377" s="50"/>
      <c r="TRR377" s="50"/>
      <c r="TRS377" s="50"/>
      <c r="TRT377" s="50"/>
      <c r="TRU377" s="50"/>
      <c r="TRV377" s="50"/>
      <c r="TRW377" s="50"/>
      <c r="TRX377" s="50"/>
      <c r="TRY377" s="50"/>
      <c r="TRZ377" s="50"/>
      <c r="TSA377" s="50"/>
      <c r="TSB377" s="50"/>
      <c r="TSC377" s="50"/>
      <c r="TSD377" s="50"/>
      <c r="TSE377" s="50"/>
      <c r="TSF377" s="50"/>
      <c r="TSG377" s="50"/>
      <c r="TSH377" s="50"/>
      <c r="TSI377" s="50"/>
      <c r="TSJ377" s="50"/>
      <c r="TSK377" s="50"/>
      <c r="TSL377" s="50"/>
      <c r="TSM377" s="50"/>
      <c r="TSN377" s="50"/>
      <c r="TSO377" s="50"/>
      <c r="TSP377" s="50"/>
      <c r="TSQ377" s="50"/>
      <c r="TSR377" s="50"/>
      <c r="TSS377" s="50"/>
      <c r="TST377" s="50"/>
      <c r="TSU377" s="50"/>
      <c r="TSV377" s="50"/>
      <c r="TSW377" s="50"/>
      <c r="TSX377" s="50"/>
      <c r="TSY377" s="50"/>
      <c r="TSZ377" s="50"/>
      <c r="TTA377" s="50"/>
      <c r="TTB377" s="50"/>
      <c r="TTC377" s="50"/>
      <c r="TTD377" s="50"/>
      <c r="TTE377" s="50"/>
      <c r="TTF377" s="50"/>
      <c r="TTG377" s="50"/>
      <c r="TTH377" s="50"/>
      <c r="TTI377" s="50"/>
      <c r="TTJ377" s="50"/>
      <c r="TTK377" s="50"/>
      <c r="TTL377" s="50"/>
      <c r="TTM377" s="50"/>
      <c r="TTN377" s="50"/>
      <c r="TTO377" s="50"/>
      <c r="TTP377" s="50"/>
      <c r="TTQ377" s="50"/>
      <c r="TTR377" s="50"/>
      <c r="TTS377" s="50"/>
      <c r="TTT377" s="50"/>
      <c r="TTU377" s="50"/>
      <c r="TTV377" s="50"/>
      <c r="TTW377" s="50"/>
      <c r="TTX377" s="50"/>
      <c r="TTY377" s="50"/>
      <c r="TTZ377" s="50"/>
      <c r="TUA377" s="50"/>
      <c r="TUB377" s="50"/>
      <c r="TUC377" s="50"/>
      <c r="TUD377" s="50"/>
      <c r="TUE377" s="50"/>
      <c r="TUF377" s="50"/>
      <c r="TUG377" s="50"/>
      <c r="TUH377" s="50"/>
      <c r="TUI377" s="50"/>
      <c r="TUJ377" s="50"/>
      <c r="TUK377" s="50"/>
      <c r="TUL377" s="50"/>
      <c r="TUM377" s="50"/>
      <c r="TUN377" s="50"/>
      <c r="TUO377" s="50"/>
      <c r="TUP377" s="50"/>
      <c r="TUQ377" s="50"/>
      <c r="TUR377" s="50"/>
      <c r="TUS377" s="50"/>
      <c r="TUT377" s="50"/>
      <c r="TUU377" s="50"/>
      <c r="TUV377" s="50"/>
      <c r="TUW377" s="50"/>
      <c r="TUX377" s="50"/>
      <c r="TUY377" s="50"/>
      <c r="TUZ377" s="50"/>
      <c r="TVA377" s="50"/>
      <c r="TVB377" s="50"/>
      <c r="TVC377" s="50"/>
      <c r="TVD377" s="50"/>
      <c r="TVE377" s="50"/>
      <c r="TVF377" s="50"/>
      <c r="TVG377" s="50"/>
      <c r="TVH377" s="50"/>
      <c r="TVI377" s="50"/>
      <c r="TVJ377" s="50"/>
      <c r="TVK377" s="50"/>
      <c r="TVL377" s="50"/>
      <c r="TVM377" s="50"/>
      <c r="TVN377" s="50"/>
      <c r="TVO377" s="50"/>
      <c r="TVP377" s="50"/>
      <c r="TVQ377" s="50"/>
      <c r="TVR377" s="50"/>
      <c r="TVS377" s="50"/>
      <c r="TVT377" s="50"/>
      <c r="TVU377" s="50"/>
      <c r="TVV377" s="50"/>
      <c r="TVW377" s="50"/>
      <c r="TVX377" s="50"/>
      <c r="TVY377" s="50"/>
      <c r="TVZ377" s="50"/>
      <c r="TWA377" s="50"/>
      <c r="TWB377" s="50"/>
      <c r="TWC377" s="50"/>
      <c r="TWD377" s="50"/>
      <c r="TWE377" s="50"/>
      <c r="TWF377" s="50"/>
      <c r="TWG377" s="50"/>
      <c r="TWH377" s="50"/>
      <c r="TWI377" s="50"/>
      <c r="TWJ377" s="50"/>
      <c r="TWK377" s="50"/>
      <c r="TWL377" s="50"/>
      <c r="TWM377" s="50"/>
      <c r="TWN377" s="50"/>
      <c r="TWO377" s="50"/>
      <c r="TWP377" s="50"/>
      <c r="TWQ377" s="50"/>
      <c r="TWR377" s="50"/>
      <c r="TWS377" s="50"/>
      <c r="TWT377" s="50"/>
      <c r="TWU377" s="50"/>
      <c r="TWV377" s="50"/>
      <c r="TWW377" s="50"/>
      <c r="TWX377" s="50"/>
      <c r="TWY377" s="50"/>
      <c r="TWZ377" s="50"/>
      <c r="TXA377" s="50"/>
      <c r="TXB377" s="50"/>
      <c r="TXC377" s="50"/>
      <c r="TXD377" s="50"/>
      <c r="TXE377" s="50"/>
      <c r="TXF377" s="50"/>
      <c r="TXG377" s="50"/>
      <c r="TXH377" s="50"/>
      <c r="TXI377" s="50"/>
      <c r="TXJ377" s="50"/>
      <c r="TXK377" s="50"/>
      <c r="TXL377" s="50"/>
      <c r="TXM377" s="50"/>
      <c r="TXN377" s="50"/>
      <c r="TXO377" s="50"/>
      <c r="TXP377" s="50"/>
      <c r="TXQ377" s="50"/>
      <c r="TXR377" s="50"/>
      <c r="TXS377" s="50"/>
      <c r="TXT377" s="50"/>
      <c r="TXU377" s="50"/>
      <c r="TXV377" s="50"/>
      <c r="TXW377" s="50"/>
      <c r="TXX377" s="50"/>
      <c r="TXY377" s="50"/>
      <c r="TXZ377" s="50"/>
      <c r="TYA377" s="50"/>
      <c r="TYB377" s="50"/>
      <c r="TYC377" s="50"/>
      <c r="TYD377" s="50"/>
      <c r="TYE377" s="50"/>
      <c r="TYF377" s="50"/>
      <c r="TYG377" s="50"/>
      <c r="TYH377" s="50"/>
      <c r="TYI377" s="50"/>
      <c r="TYJ377" s="50"/>
      <c r="TYK377" s="50"/>
      <c r="TYL377" s="50"/>
      <c r="TYM377" s="50"/>
      <c r="TYN377" s="50"/>
      <c r="TYO377" s="50"/>
      <c r="TYP377" s="50"/>
      <c r="TYQ377" s="50"/>
      <c r="TYR377" s="50"/>
      <c r="TYS377" s="50"/>
      <c r="TYT377" s="50"/>
      <c r="TYU377" s="50"/>
      <c r="TYV377" s="50"/>
      <c r="TYW377" s="50"/>
      <c r="TYX377" s="50"/>
      <c r="TYY377" s="50"/>
      <c r="TYZ377" s="50"/>
      <c r="TZA377" s="50"/>
      <c r="TZB377" s="50"/>
      <c r="TZC377" s="50"/>
      <c r="TZD377" s="50"/>
      <c r="TZE377" s="50"/>
      <c r="TZF377" s="50"/>
      <c r="TZG377" s="50"/>
      <c r="TZH377" s="50"/>
      <c r="TZI377" s="50"/>
      <c r="TZJ377" s="50"/>
      <c r="TZK377" s="50"/>
      <c r="TZL377" s="50"/>
      <c r="TZM377" s="50"/>
      <c r="TZN377" s="50"/>
      <c r="TZO377" s="50"/>
      <c r="TZP377" s="50"/>
      <c r="TZQ377" s="50"/>
      <c r="TZR377" s="50"/>
      <c r="TZS377" s="50"/>
      <c r="TZT377" s="50"/>
      <c r="TZU377" s="50"/>
      <c r="TZV377" s="50"/>
      <c r="TZW377" s="50"/>
      <c r="TZX377" s="50"/>
      <c r="TZY377" s="50"/>
      <c r="TZZ377" s="50"/>
      <c r="UAA377" s="50"/>
      <c r="UAB377" s="50"/>
      <c r="UAC377" s="50"/>
      <c r="UAD377" s="50"/>
      <c r="UAE377" s="50"/>
      <c r="UAF377" s="50"/>
      <c r="UAG377" s="50"/>
      <c r="UAH377" s="50"/>
      <c r="UAI377" s="50"/>
      <c r="UAJ377" s="50"/>
      <c r="UAK377" s="50"/>
      <c r="UAL377" s="50"/>
      <c r="UAM377" s="50"/>
      <c r="UAN377" s="50"/>
      <c r="UAO377" s="50"/>
      <c r="UAP377" s="50"/>
      <c r="UAQ377" s="50"/>
      <c r="UAR377" s="50"/>
      <c r="UAS377" s="50"/>
      <c r="UAT377" s="50"/>
      <c r="UAU377" s="50"/>
      <c r="UAV377" s="50"/>
      <c r="UAW377" s="50"/>
      <c r="UAX377" s="50"/>
      <c r="UAY377" s="50"/>
      <c r="UAZ377" s="50"/>
      <c r="UBA377" s="50"/>
      <c r="UBB377" s="50"/>
      <c r="UBC377" s="50"/>
      <c r="UBD377" s="50"/>
      <c r="UBE377" s="50"/>
      <c r="UBF377" s="50"/>
      <c r="UBG377" s="50"/>
      <c r="UBH377" s="50"/>
      <c r="UBI377" s="50"/>
      <c r="UBJ377" s="50"/>
      <c r="UBK377" s="50"/>
      <c r="UBL377" s="50"/>
      <c r="UBM377" s="50"/>
      <c r="UBN377" s="50"/>
      <c r="UBO377" s="50"/>
      <c r="UBP377" s="50"/>
      <c r="UBQ377" s="50"/>
      <c r="UBR377" s="50"/>
      <c r="UBS377" s="50"/>
      <c r="UBT377" s="50"/>
      <c r="UBU377" s="50"/>
      <c r="UBV377" s="50"/>
      <c r="UBW377" s="50"/>
      <c r="UBX377" s="50"/>
      <c r="UBY377" s="50"/>
      <c r="UBZ377" s="50"/>
      <c r="UCA377" s="50"/>
      <c r="UCB377" s="50"/>
      <c r="UCC377" s="50"/>
      <c r="UCD377" s="50"/>
      <c r="UCE377" s="50"/>
      <c r="UCF377" s="50"/>
      <c r="UCG377" s="50"/>
      <c r="UCH377" s="50"/>
      <c r="UCI377" s="50"/>
      <c r="UCJ377" s="50"/>
      <c r="UCK377" s="50"/>
      <c r="UCL377" s="50"/>
      <c r="UCM377" s="50"/>
      <c r="UCN377" s="50"/>
      <c r="UCO377" s="50"/>
      <c r="UCP377" s="50"/>
      <c r="UCQ377" s="50"/>
      <c r="UCR377" s="50"/>
      <c r="UCS377" s="50"/>
      <c r="UCT377" s="50"/>
      <c r="UCU377" s="50"/>
      <c r="UCV377" s="50"/>
      <c r="UCW377" s="50"/>
      <c r="UCX377" s="50"/>
      <c r="UCY377" s="50"/>
      <c r="UCZ377" s="50"/>
      <c r="UDA377" s="50"/>
      <c r="UDB377" s="50"/>
      <c r="UDC377" s="50"/>
      <c r="UDD377" s="50"/>
      <c r="UDE377" s="50"/>
      <c r="UDF377" s="50"/>
      <c r="UDG377" s="50"/>
      <c r="UDH377" s="50"/>
      <c r="UDI377" s="50"/>
      <c r="UDJ377" s="50"/>
      <c r="UDK377" s="50"/>
      <c r="UDL377" s="50"/>
      <c r="UDM377" s="50"/>
      <c r="UDN377" s="50"/>
      <c r="UDO377" s="50"/>
      <c r="UDP377" s="50"/>
      <c r="UDQ377" s="50"/>
      <c r="UDR377" s="50"/>
      <c r="UDS377" s="50"/>
      <c r="UDT377" s="50"/>
      <c r="UDU377" s="50"/>
      <c r="UDV377" s="50"/>
      <c r="UDW377" s="50"/>
      <c r="UDX377" s="50"/>
      <c r="UDY377" s="50"/>
      <c r="UDZ377" s="50"/>
      <c r="UEA377" s="50"/>
      <c r="UEB377" s="50"/>
      <c r="UEC377" s="50"/>
      <c r="UED377" s="50"/>
      <c r="UEE377" s="50"/>
      <c r="UEF377" s="50"/>
      <c r="UEG377" s="50"/>
      <c r="UEH377" s="50"/>
      <c r="UEI377" s="50"/>
      <c r="UEJ377" s="50"/>
      <c r="UEK377" s="50"/>
      <c r="UEL377" s="50"/>
      <c r="UEM377" s="50"/>
      <c r="UEN377" s="50"/>
      <c r="UEO377" s="50"/>
      <c r="UEP377" s="50"/>
      <c r="UEQ377" s="50"/>
      <c r="UER377" s="50"/>
      <c r="UES377" s="50"/>
      <c r="UET377" s="50"/>
      <c r="UEU377" s="50"/>
      <c r="UEV377" s="50"/>
      <c r="UEW377" s="50"/>
      <c r="UEX377" s="50"/>
      <c r="UEY377" s="50"/>
      <c r="UEZ377" s="50"/>
      <c r="UFA377" s="50"/>
      <c r="UFB377" s="50"/>
      <c r="UFC377" s="50"/>
      <c r="UFD377" s="50"/>
      <c r="UFE377" s="50"/>
      <c r="UFF377" s="50"/>
      <c r="UFG377" s="50"/>
      <c r="UFH377" s="50"/>
      <c r="UFI377" s="50"/>
      <c r="UFJ377" s="50"/>
      <c r="UFK377" s="50"/>
      <c r="UFL377" s="50"/>
      <c r="UFM377" s="50"/>
      <c r="UFN377" s="50"/>
      <c r="UFO377" s="50"/>
      <c r="UFP377" s="50"/>
      <c r="UFQ377" s="50"/>
      <c r="UFR377" s="50"/>
      <c r="UFS377" s="50"/>
      <c r="UFT377" s="50"/>
      <c r="UFU377" s="50"/>
      <c r="UFV377" s="50"/>
      <c r="UFW377" s="50"/>
      <c r="UFX377" s="50"/>
      <c r="UFY377" s="50"/>
      <c r="UFZ377" s="50"/>
      <c r="UGA377" s="50"/>
      <c r="UGB377" s="50"/>
      <c r="UGC377" s="50"/>
      <c r="UGD377" s="50"/>
      <c r="UGE377" s="50"/>
      <c r="UGF377" s="50"/>
      <c r="UGG377" s="50"/>
      <c r="UGH377" s="50"/>
      <c r="UGI377" s="50"/>
      <c r="UGJ377" s="50"/>
      <c r="UGK377" s="50"/>
      <c r="UGL377" s="50"/>
      <c r="UGM377" s="50"/>
      <c r="UGN377" s="50"/>
      <c r="UGO377" s="50"/>
      <c r="UGP377" s="50"/>
      <c r="UGQ377" s="50"/>
      <c r="UGR377" s="50"/>
      <c r="UGS377" s="50"/>
      <c r="UGT377" s="50"/>
      <c r="UGU377" s="50"/>
      <c r="UGV377" s="50"/>
      <c r="UGW377" s="50"/>
      <c r="UGX377" s="50"/>
      <c r="UGY377" s="50"/>
      <c r="UGZ377" s="50"/>
      <c r="UHA377" s="50"/>
      <c r="UHB377" s="50"/>
      <c r="UHC377" s="50"/>
      <c r="UHD377" s="50"/>
      <c r="UHE377" s="50"/>
      <c r="UHF377" s="50"/>
      <c r="UHG377" s="50"/>
      <c r="UHH377" s="50"/>
      <c r="UHI377" s="50"/>
      <c r="UHJ377" s="50"/>
      <c r="UHK377" s="50"/>
      <c r="UHL377" s="50"/>
      <c r="UHM377" s="50"/>
      <c r="UHN377" s="50"/>
      <c r="UHO377" s="50"/>
      <c r="UHP377" s="50"/>
      <c r="UHQ377" s="50"/>
      <c r="UHR377" s="50"/>
      <c r="UHS377" s="50"/>
      <c r="UHT377" s="50"/>
      <c r="UHU377" s="50"/>
      <c r="UHV377" s="50"/>
      <c r="UHW377" s="50"/>
      <c r="UHX377" s="50"/>
      <c r="UHY377" s="50"/>
      <c r="UHZ377" s="50"/>
      <c r="UIA377" s="50"/>
      <c r="UIB377" s="50"/>
      <c r="UIC377" s="50"/>
      <c r="UID377" s="50"/>
      <c r="UIE377" s="50"/>
      <c r="UIF377" s="50"/>
      <c r="UIG377" s="50"/>
      <c r="UIH377" s="50"/>
      <c r="UII377" s="50"/>
      <c r="UIJ377" s="50"/>
      <c r="UIK377" s="50"/>
      <c r="UIL377" s="50"/>
      <c r="UIM377" s="50"/>
      <c r="UIN377" s="50"/>
      <c r="UIO377" s="50"/>
      <c r="UIP377" s="50"/>
      <c r="UIQ377" s="50"/>
      <c r="UIR377" s="50"/>
      <c r="UIS377" s="50"/>
      <c r="UIT377" s="50"/>
      <c r="UIU377" s="50"/>
      <c r="UIV377" s="50"/>
      <c r="UIW377" s="50"/>
      <c r="UIX377" s="50"/>
      <c r="UIY377" s="50"/>
      <c r="UIZ377" s="50"/>
      <c r="UJA377" s="50"/>
      <c r="UJB377" s="50"/>
      <c r="UJC377" s="50"/>
      <c r="UJD377" s="50"/>
      <c r="UJE377" s="50"/>
      <c r="UJF377" s="50"/>
      <c r="UJG377" s="50"/>
      <c r="UJH377" s="50"/>
      <c r="UJI377" s="50"/>
      <c r="UJJ377" s="50"/>
      <c r="UJK377" s="50"/>
      <c r="UJL377" s="50"/>
      <c r="UJM377" s="50"/>
      <c r="UJN377" s="50"/>
      <c r="UJO377" s="50"/>
      <c r="UJP377" s="50"/>
      <c r="UJQ377" s="50"/>
      <c r="UJR377" s="50"/>
      <c r="UJS377" s="50"/>
      <c r="UJT377" s="50"/>
      <c r="UJU377" s="50"/>
      <c r="UJV377" s="50"/>
      <c r="UJW377" s="50"/>
      <c r="UJX377" s="50"/>
      <c r="UJY377" s="50"/>
      <c r="UJZ377" s="50"/>
      <c r="UKA377" s="50"/>
      <c r="UKB377" s="50"/>
      <c r="UKC377" s="50"/>
      <c r="UKD377" s="50"/>
      <c r="UKE377" s="50"/>
      <c r="UKF377" s="50"/>
      <c r="UKG377" s="50"/>
      <c r="UKH377" s="50"/>
      <c r="UKI377" s="50"/>
      <c r="UKJ377" s="50"/>
      <c r="UKK377" s="50"/>
      <c r="UKL377" s="50"/>
      <c r="UKM377" s="50"/>
      <c r="UKN377" s="50"/>
      <c r="UKO377" s="50"/>
      <c r="UKP377" s="50"/>
      <c r="UKQ377" s="50"/>
      <c r="UKR377" s="50"/>
      <c r="UKS377" s="50"/>
      <c r="UKT377" s="50"/>
      <c r="UKU377" s="50"/>
      <c r="UKV377" s="50"/>
      <c r="UKW377" s="50"/>
      <c r="UKX377" s="50"/>
      <c r="UKY377" s="50"/>
      <c r="UKZ377" s="50"/>
      <c r="ULA377" s="50"/>
      <c r="ULB377" s="50"/>
      <c r="ULC377" s="50"/>
      <c r="ULD377" s="50"/>
      <c r="ULE377" s="50"/>
      <c r="ULF377" s="50"/>
      <c r="ULG377" s="50"/>
      <c r="ULH377" s="50"/>
      <c r="ULI377" s="50"/>
      <c r="ULJ377" s="50"/>
      <c r="ULK377" s="50"/>
      <c r="ULL377" s="50"/>
      <c r="ULM377" s="50"/>
      <c r="ULN377" s="50"/>
      <c r="ULO377" s="50"/>
      <c r="ULP377" s="50"/>
      <c r="ULQ377" s="50"/>
      <c r="ULR377" s="50"/>
      <c r="ULS377" s="50"/>
      <c r="ULT377" s="50"/>
      <c r="ULU377" s="50"/>
      <c r="ULV377" s="50"/>
      <c r="ULW377" s="50"/>
      <c r="ULX377" s="50"/>
      <c r="ULY377" s="50"/>
      <c r="ULZ377" s="50"/>
      <c r="UMA377" s="50"/>
      <c r="UMB377" s="50"/>
      <c r="UMC377" s="50"/>
      <c r="UMD377" s="50"/>
      <c r="UME377" s="50"/>
      <c r="UMF377" s="50"/>
      <c r="UMG377" s="50"/>
      <c r="UMH377" s="50"/>
      <c r="UMI377" s="50"/>
      <c r="UMJ377" s="50"/>
      <c r="UMK377" s="50"/>
      <c r="UML377" s="50"/>
      <c r="UMM377" s="50"/>
      <c r="UMN377" s="50"/>
      <c r="UMO377" s="50"/>
      <c r="UMP377" s="50"/>
      <c r="UMQ377" s="50"/>
      <c r="UMR377" s="50"/>
      <c r="UMS377" s="50"/>
      <c r="UMT377" s="50"/>
      <c r="UMU377" s="50"/>
      <c r="UMV377" s="50"/>
      <c r="UMW377" s="50"/>
      <c r="UMX377" s="50"/>
      <c r="UMY377" s="50"/>
      <c r="UMZ377" s="50"/>
      <c r="UNA377" s="50"/>
      <c r="UNB377" s="50"/>
      <c r="UNC377" s="50"/>
      <c r="UND377" s="50"/>
      <c r="UNE377" s="50"/>
      <c r="UNF377" s="50"/>
      <c r="UNG377" s="50"/>
      <c r="UNH377" s="50"/>
      <c r="UNI377" s="50"/>
      <c r="UNJ377" s="50"/>
      <c r="UNK377" s="50"/>
      <c r="UNL377" s="50"/>
      <c r="UNM377" s="50"/>
      <c r="UNN377" s="50"/>
      <c r="UNO377" s="50"/>
      <c r="UNP377" s="50"/>
      <c r="UNQ377" s="50"/>
      <c r="UNR377" s="50"/>
      <c r="UNS377" s="50"/>
      <c r="UNT377" s="50"/>
      <c r="UNU377" s="50"/>
      <c r="UNV377" s="50"/>
      <c r="UNW377" s="50"/>
      <c r="UNX377" s="50"/>
      <c r="UNY377" s="50"/>
      <c r="UNZ377" s="50"/>
      <c r="UOA377" s="50"/>
      <c r="UOB377" s="50"/>
      <c r="UOC377" s="50"/>
      <c r="UOD377" s="50"/>
      <c r="UOE377" s="50"/>
      <c r="UOF377" s="50"/>
      <c r="UOG377" s="50"/>
      <c r="UOH377" s="50"/>
      <c r="UOI377" s="50"/>
      <c r="UOJ377" s="50"/>
      <c r="UOK377" s="50"/>
      <c r="UOL377" s="50"/>
      <c r="UOM377" s="50"/>
      <c r="UON377" s="50"/>
      <c r="UOO377" s="50"/>
      <c r="UOP377" s="50"/>
      <c r="UOQ377" s="50"/>
      <c r="UOR377" s="50"/>
      <c r="UOS377" s="50"/>
      <c r="UOT377" s="50"/>
      <c r="UOU377" s="50"/>
      <c r="UOV377" s="50"/>
      <c r="UOW377" s="50"/>
      <c r="UOX377" s="50"/>
      <c r="UOY377" s="50"/>
      <c r="UOZ377" s="50"/>
      <c r="UPA377" s="50"/>
      <c r="UPB377" s="50"/>
      <c r="UPC377" s="50"/>
      <c r="UPD377" s="50"/>
      <c r="UPE377" s="50"/>
      <c r="UPF377" s="50"/>
      <c r="UPG377" s="50"/>
      <c r="UPH377" s="50"/>
      <c r="UPI377" s="50"/>
      <c r="UPJ377" s="50"/>
      <c r="UPK377" s="50"/>
      <c r="UPL377" s="50"/>
      <c r="UPM377" s="50"/>
      <c r="UPN377" s="50"/>
      <c r="UPO377" s="50"/>
      <c r="UPP377" s="50"/>
      <c r="UPQ377" s="50"/>
      <c r="UPR377" s="50"/>
      <c r="UPS377" s="50"/>
      <c r="UPT377" s="50"/>
      <c r="UPU377" s="50"/>
      <c r="UPV377" s="50"/>
      <c r="UPW377" s="50"/>
      <c r="UPX377" s="50"/>
      <c r="UPY377" s="50"/>
      <c r="UPZ377" s="50"/>
      <c r="UQA377" s="50"/>
      <c r="UQB377" s="50"/>
      <c r="UQC377" s="50"/>
      <c r="UQD377" s="50"/>
      <c r="UQE377" s="50"/>
      <c r="UQF377" s="50"/>
      <c r="UQG377" s="50"/>
      <c r="UQH377" s="50"/>
      <c r="UQI377" s="50"/>
      <c r="UQJ377" s="50"/>
      <c r="UQK377" s="50"/>
      <c r="UQL377" s="50"/>
      <c r="UQM377" s="50"/>
      <c r="UQN377" s="50"/>
      <c r="UQO377" s="50"/>
      <c r="UQP377" s="50"/>
      <c r="UQQ377" s="50"/>
      <c r="UQR377" s="50"/>
      <c r="UQS377" s="50"/>
      <c r="UQT377" s="50"/>
      <c r="UQU377" s="50"/>
      <c r="UQV377" s="50"/>
      <c r="UQW377" s="50"/>
      <c r="UQX377" s="50"/>
      <c r="UQY377" s="50"/>
      <c r="UQZ377" s="50"/>
      <c r="URA377" s="50"/>
      <c r="URB377" s="50"/>
      <c r="URC377" s="50"/>
      <c r="URD377" s="50"/>
      <c r="URE377" s="50"/>
      <c r="URF377" s="50"/>
      <c r="URG377" s="50"/>
      <c r="URH377" s="50"/>
      <c r="URI377" s="50"/>
      <c r="URJ377" s="50"/>
      <c r="URK377" s="50"/>
      <c r="URL377" s="50"/>
      <c r="URM377" s="50"/>
      <c r="URN377" s="50"/>
      <c r="URO377" s="50"/>
      <c r="URP377" s="50"/>
      <c r="URQ377" s="50"/>
      <c r="URR377" s="50"/>
      <c r="URS377" s="50"/>
      <c r="URT377" s="50"/>
      <c r="URU377" s="50"/>
      <c r="URV377" s="50"/>
      <c r="URW377" s="50"/>
      <c r="URX377" s="50"/>
      <c r="URY377" s="50"/>
      <c r="URZ377" s="50"/>
      <c r="USA377" s="50"/>
      <c r="USB377" s="50"/>
      <c r="USC377" s="50"/>
      <c r="USD377" s="50"/>
      <c r="USE377" s="50"/>
      <c r="USF377" s="50"/>
      <c r="USG377" s="50"/>
      <c r="USH377" s="50"/>
      <c r="USI377" s="50"/>
      <c r="USJ377" s="50"/>
      <c r="USK377" s="50"/>
      <c r="USL377" s="50"/>
      <c r="USM377" s="50"/>
      <c r="USN377" s="50"/>
      <c r="USO377" s="50"/>
      <c r="USP377" s="50"/>
      <c r="USQ377" s="50"/>
      <c r="USR377" s="50"/>
      <c r="USS377" s="50"/>
      <c r="UST377" s="50"/>
      <c r="USU377" s="50"/>
      <c r="USV377" s="50"/>
      <c r="USW377" s="50"/>
      <c r="USX377" s="50"/>
      <c r="USY377" s="50"/>
      <c r="USZ377" s="50"/>
      <c r="UTA377" s="50"/>
      <c r="UTB377" s="50"/>
      <c r="UTC377" s="50"/>
      <c r="UTD377" s="50"/>
      <c r="UTE377" s="50"/>
      <c r="UTF377" s="50"/>
      <c r="UTG377" s="50"/>
      <c r="UTH377" s="50"/>
      <c r="UTI377" s="50"/>
      <c r="UTJ377" s="50"/>
      <c r="UTK377" s="50"/>
      <c r="UTL377" s="50"/>
      <c r="UTM377" s="50"/>
      <c r="UTN377" s="50"/>
      <c r="UTO377" s="50"/>
      <c r="UTP377" s="50"/>
      <c r="UTQ377" s="50"/>
      <c r="UTR377" s="50"/>
      <c r="UTS377" s="50"/>
      <c r="UTT377" s="50"/>
      <c r="UTU377" s="50"/>
      <c r="UTV377" s="50"/>
      <c r="UTW377" s="50"/>
      <c r="UTX377" s="50"/>
      <c r="UTY377" s="50"/>
      <c r="UTZ377" s="50"/>
      <c r="UUA377" s="50"/>
      <c r="UUB377" s="50"/>
      <c r="UUC377" s="50"/>
      <c r="UUD377" s="50"/>
      <c r="UUE377" s="50"/>
      <c r="UUF377" s="50"/>
      <c r="UUG377" s="50"/>
      <c r="UUH377" s="50"/>
      <c r="UUI377" s="50"/>
      <c r="UUJ377" s="50"/>
      <c r="UUK377" s="50"/>
      <c r="UUL377" s="50"/>
      <c r="UUM377" s="50"/>
      <c r="UUN377" s="50"/>
      <c r="UUO377" s="50"/>
      <c r="UUP377" s="50"/>
      <c r="UUQ377" s="50"/>
      <c r="UUR377" s="50"/>
      <c r="UUS377" s="50"/>
      <c r="UUT377" s="50"/>
      <c r="UUU377" s="50"/>
      <c r="UUV377" s="50"/>
      <c r="UUW377" s="50"/>
      <c r="UUX377" s="50"/>
      <c r="UUY377" s="50"/>
      <c r="UUZ377" s="50"/>
      <c r="UVA377" s="50"/>
      <c r="UVB377" s="50"/>
      <c r="UVC377" s="50"/>
      <c r="UVD377" s="50"/>
      <c r="UVE377" s="50"/>
      <c r="UVF377" s="50"/>
      <c r="UVG377" s="50"/>
      <c r="UVH377" s="50"/>
      <c r="UVI377" s="50"/>
      <c r="UVJ377" s="50"/>
      <c r="UVK377" s="50"/>
      <c r="UVL377" s="50"/>
      <c r="UVM377" s="50"/>
      <c r="UVN377" s="50"/>
      <c r="UVO377" s="50"/>
      <c r="UVP377" s="50"/>
      <c r="UVQ377" s="50"/>
      <c r="UVR377" s="50"/>
      <c r="UVS377" s="50"/>
      <c r="UVT377" s="50"/>
      <c r="UVU377" s="50"/>
      <c r="UVV377" s="50"/>
      <c r="UVW377" s="50"/>
      <c r="UVX377" s="50"/>
      <c r="UVY377" s="50"/>
      <c r="UVZ377" s="50"/>
      <c r="UWA377" s="50"/>
      <c r="UWB377" s="50"/>
      <c r="UWC377" s="50"/>
      <c r="UWD377" s="50"/>
      <c r="UWE377" s="50"/>
      <c r="UWF377" s="50"/>
      <c r="UWG377" s="50"/>
      <c r="UWH377" s="50"/>
      <c r="UWI377" s="50"/>
      <c r="UWJ377" s="50"/>
      <c r="UWK377" s="50"/>
      <c r="UWL377" s="50"/>
      <c r="UWM377" s="50"/>
      <c r="UWN377" s="50"/>
      <c r="UWO377" s="50"/>
      <c r="UWP377" s="50"/>
      <c r="UWQ377" s="50"/>
      <c r="UWR377" s="50"/>
      <c r="UWS377" s="50"/>
      <c r="UWT377" s="50"/>
      <c r="UWU377" s="50"/>
      <c r="UWV377" s="50"/>
      <c r="UWW377" s="50"/>
      <c r="UWX377" s="50"/>
      <c r="UWY377" s="50"/>
      <c r="UWZ377" s="50"/>
      <c r="UXA377" s="50"/>
      <c r="UXB377" s="50"/>
      <c r="UXC377" s="50"/>
      <c r="UXD377" s="50"/>
      <c r="UXE377" s="50"/>
      <c r="UXF377" s="50"/>
      <c r="UXG377" s="50"/>
      <c r="UXH377" s="50"/>
      <c r="UXI377" s="50"/>
      <c r="UXJ377" s="50"/>
      <c r="UXK377" s="50"/>
      <c r="UXL377" s="50"/>
      <c r="UXM377" s="50"/>
      <c r="UXN377" s="50"/>
      <c r="UXO377" s="50"/>
      <c r="UXP377" s="50"/>
      <c r="UXQ377" s="50"/>
      <c r="UXR377" s="50"/>
      <c r="UXS377" s="50"/>
      <c r="UXT377" s="50"/>
      <c r="UXU377" s="50"/>
      <c r="UXV377" s="50"/>
      <c r="UXW377" s="50"/>
      <c r="UXX377" s="50"/>
      <c r="UXY377" s="50"/>
      <c r="UXZ377" s="50"/>
      <c r="UYA377" s="50"/>
      <c r="UYB377" s="50"/>
      <c r="UYC377" s="50"/>
      <c r="UYD377" s="50"/>
      <c r="UYE377" s="50"/>
      <c r="UYF377" s="50"/>
      <c r="UYG377" s="50"/>
      <c r="UYH377" s="50"/>
      <c r="UYI377" s="50"/>
      <c r="UYJ377" s="50"/>
      <c r="UYK377" s="50"/>
      <c r="UYL377" s="50"/>
      <c r="UYM377" s="50"/>
      <c r="UYN377" s="50"/>
      <c r="UYO377" s="50"/>
      <c r="UYP377" s="50"/>
      <c r="UYQ377" s="50"/>
      <c r="UYR377" s="50"/>
      <c r="UYS377" s="50"/>
      <c r="UYT377" s="50"/>
      <c r="UYU377" s="50"/>
      <c r="UYV377" s="50"/>
      <c r="UYW377" s="50"/>
      <c r="UYX377" s="50"/>
      <c r="UYY377" s="50"/>
      <c r="UYZ377" s="50"/>
      <c r="UZA377" s="50"/>
      <c r="UZB377" s="50"/>
      <c r="UZC377" s="50"/>
      <c r="UZD377" s="50"/>
      <c r="UZE377" s="50"/>
      <c r="UZF377" s="50"/>
      <c r="UZG377" s="50"/>
      <c r="UZH377" s="50"/>
      <c r="UZI377" s="50"/>
      <c r="UZJ377" s="50"/>
      <c r="UZK377" s="50"/>
      <c r="UZL377" s="50"/>
      <c r="UZM377" s="50"/>
      <c r="UZN377" s="50"/>
      <c r="UZO377" s="50"/>
      <c r="UZP377" s="50"/>
      <c r="UZQ377" s="50"/>
      <c r="UZR377" s="50"/>
      <c r="UZS377" s="50"/>
      <c r="UZT377" s="50"/>
      <c r="UZU377" s="50"/>
      <c r="UZV377" s="50"/>
      <c r="UZW377" s="50"/>
      <c r="UZX377" s="50"/>
      <c r="UZY377" s="50"/>
      <c r="UZZ377" s="50"/>
      <c r="VAA377" s="50"/>
      <c r="VAB377" s="50"/>
      <c r="VAC377" s="50"/>
      <c r="VAD377" s="50"/>
      <c r="VAE377" s="50"/>
      <c r="VAF377" s="50"/>
      <c r="VAG377" s="50"/>
      <c r="VAH377" s="50"/>
      <c r="VAI377" s="50"/>
      <c r="VAJ377" s="50"/>
      <c r="VAK377" s="50"/>
      <c r="VAL377" s="50"/>
      <c r="VAM377" s="50"/>
      <c r="VAN377" s="50"/>
      <c r="VAO377" s="50"/>
      <c r="VAP377" s="50"/>
      <c r="VAQ377" s="50"/>
      <c r="VAR377" s="50"/>
      <c r="VAS377" s="50"/>
      <c r="VAT377" s="50"/>
      <c r="VAU377" s="50"/>
      <c r="VAV377" s="50"/>
      <c r="VAW377" s="50"/>
      <c r="VAX377" s="50"/>
      <c r="VAY377" s="50"/>
      <c r="VAZ377" s="50"/>
      <c r="VBA377" s="50"/>
      <c r="VBB377" s="50"/>
      <c r="VBC377" s="50"/>
      <c r="VBD377" s="50"/>
      <c r="VBE377" s="50"/>
      <c r="VBF377" s="50"/>
      <c r="VBG377" s="50"/>
      <c r="VBH377" s="50"/>
      <c r="VBI377" s="50"/>
      <c r="VBJ377" s="50"/>
      <c r="VBK377" s="50"/>
      <c r="VBL377" s="50"/>
      <c r="VBM377" s="50"/>
      <c r="VBN377" s="50"/>
      <c r="VBO377" s="50"/>
      <c r="VBP377" s="50"/>
      <c r="VBQ377" s="50"/>
      <c r="VBR377" s="50"/>
      <c r="VBS377" s="50"/>
      <c r="VBT377" s="50"/>
      <c r="VBU377" s="50"/>
      <c r="VBV377" s="50"/>
      <c r="VBW377" s="50"/>
      <c r="VBX377" s="50"/>
      <c r="VBY377" s="50"/>
      <c r="VBZ377" s="50"/>
      <c r="VCA377" s="50"/>
      <c r="VCB377" s="50"/>
      <c r="VCC377" s="50"/>
      <c r="VCD377" s="50"/>
      <c r="VCE377" s="50"/>
      <c r="VCF377" s="50"/>
      <c r="VCG377" s="50"/>
      <c r="VCH377" s="50"/>
      <c r="VCI377" s="50"/>
      <c r="VCJ377" s="50"/>
      <c r="VCK377" s="50"/>
      <c r="VCL377" s="50"/>
      <c r="VCM377" s="50"/>
      <c r="VCN377" s="50"/>
      <c r="VCO377" s="50"/>
      <c r="VCP377" s="50"/>
      <c r="VCQ377" s="50"/>
      <c r="VCR377" s="50"/>
      <c r="VCS377" s="50"/>
      <c r="VCT377" s="50"/>
      <c r="VCU377" s="50"/>
      <c r="VCV377" s="50"/>
      <c r="VCW377" s="50"/>
      <c r="VCX377" s="50"/>
      <c r="VCY377" s="50"/>
      <c r="VCZ377" s="50"/>
      <c r="VDA377" s="50"/>
      <c r="VDB377" s="50"/>
      <c r="VDC377" s="50"/>
      <c r="VDD377" s="50"/>
      <c r="VDE377" s="50"/>
      <c r="VDF377" s="50"/>
      <c r="VDG377" s="50"/>
      <c r="VDH377" s="50"/>
      <c r="VDI377" s="50"/>
      <c r="VDJ377" s="50"/>
      <c r="VDK377" s="50"/>
      <c r="VDL377" s="50"/>
      <c r="VDM377" s="50"/>
      <c r="VDN377" s="50"/>
      <c r="VDO377" s="50"/>
      <c r="VDP377" s="50"/>
      <c r="VDQ377" s="50"/>
      <c r="VDR377" s="50"/>
      <c r="VDS377" s="50"/>
      <c r="VDT377" s="50"/>
      <c r="VDU377" s="50"/>
      <c r="VDV377" s="50"/>
      <c r="VDW377" s="50"/>
      <c r="VDX377" s="50"/>
      <c r="VDY377" s="50"/>
      <c r="VDZ377" s="50"/>
      <c r="VEA377" s="50"/>
      <c r="VEB377" s="50"/>
      <c r="VEC377" s="50"/>
      <c r="VED377" s="50"/>
      <c r="VEE377" s="50"/>
      <c r="VEF377" s="50"/>
      <c r="VEG377" s="50"/>
      <c r="VEH377" s="50"/>
      <c r="VEI377" s="50"/>
      <c r="VEJ377" s="50"/>
      <c r="VEK377" s="50"/>
      <c r="VEL377" s="50"/>
      <c r="VEM377" s="50"/>
      <c r="VEN377" s="50"/>
      <c r="VEO377" s="50"/>
      <c r="VEP377" s="50"/>
      <c r="VEQ377" s="50"/>
      <c r="VER377" s="50"/>
      <c r="VES377" s="50"/>
      <c r="VET377" s="50"/>
      <c r="VEU377" s="50"/>
      <c r="VEV377" s="50"/>
      <c r="VEW377" s="50"/>
      <c r="VEX377" s="50"/>
      <c r="VEY377" s="50"/>
      <c r="VEZ377" s="50"/>
      <c r="VFA377" s="50"/>
      <c r="VFB377" s="50"/>
      <c r="VFC377" s="50"/>
      <c r="VFD377" s="50"/>
      <c r="VFE377" s="50"/>
      <c r="VFF377" s="50"/>
      <c r="VFG377" s="50"/>
      <c r="VFH377" s="50"/>
      <c r="VFI377" s="50"/>
      <c r="VFJ377" s="50"/>
      <c r="VFK377" s="50"/>
      <c r="VFL377" s="50"/>
      <c r="VFM377" s="50"/>
      <c r="VFN377" s="50"/>
      <c r="VFO377" s="50"/>
      <c r="VFP377" s="50"/>
      <c r="VFQ377" s="50"/>
      <c r="VFR377" s="50"/>
      <c r="VFS377" s="50"/>
      <c r="VFT377" s="50"/>
      <c r="VFU377" s="50"/>
      <c r="VFV377" s="50"/>
      <c r="VFW377" s="50"/>
      <c r="VFX377" s="50"/>
      <c r="VFY377" s="50"/>
      <c r="VFZ377" s="50"/>
      <c r="VGA377" s="50"/>
      <c r="VGB377" s="50"/>
      <c r="VGC377" s="50"/>
      <c r="VGD377" s="50"/>
      <c r="VGE377" s="50"/>
      <c r="VGF377" s="50"/>
      <c r="VGG377" s="50"/>
      <c r="VGH377" s="50"/>
      <c r="VGI377" s="50"/>
      <c r="VGJ377" s="50"/>
      <c r="VGK377" s="50"/>
      <c r="VGL377" s="50"/>
      <c r="VGM377" s="50"/>
      <c r="VGN377" s="50"/>
      <c r="VGO377" s="50"/>
      <c r="VGP377" s="50"/>
      <c r="VGQ377" s="50"/>
      <c r="VGR377" s="50"/>
      <c r="VGS377" s="50"/>
      <c r="VGT377" s="50"/>
      <c r="VGU377" s="50"/>
      <c r="VGV377" s="50"/>
      <c r="VGW377" s="50"/>
      <c r="VGX377" s="50"/>
      <c r="VGY377" s="50"/>
      <c r="VGZ377" s="50"/>
      <c r="VHA377" s="50"/>
      <c r="VHB377" s="50"/>
      <c r="VHC377" s="50"/>
      <c r="VHD377" s="50"/>
      <c r="VHE377" s="50"/>
      <c r="VHF377" s="50"/>
      <c r="VHG377" s="50"/>
      <c r="VHH377" s="50"/>
      <c r="VHI377" s="50"/>
      <c r="VHJ377" s="50"/>
      <c r="VHK377" s="50"/>
      <c r="VHL377" s="50"/>
      <c r="VHM377" s="50"/>
      <c r="VHN377" s="50"/>
      <c r="VHO377" s="50"/>
      <c r="VHP377" s="50"/>
      <c r="VHQ377" s="50"/>
      <c r="VHR377" s="50"/>
      <c r="VHS377" s="50"/>
      <c r="VHT377" s="50"/>
      <c r="VHU377" s="50"/>
      <c r="VHV377" s="50"/>
      <c r="VHW377" s="50"/>
      <c r="VHX377" s="50"/>
      <c r="VHY377" s="50"/>
      <c r="VHZ377" s="50"/>
      <c r="VIA377" s="50"/>
      <c r="VIB377" s="50"/>
      <c r="VIC377" s="50"/>
      <c r="VID377" s="50"/>
      <c r="VIE377" s="50"/>
      <c r="VIF377" s="50"/>
      <c r="VIG377" s="50"/>
      <c r="VIH377" s="50"/>
      <c r="VII377" s="50"/>
      <c r="VIJ377" s="50"/>
      <c r="VIK377" s="50"/>
      <c r="VIL377" s="50"/>
      <c r="VIM377" s="50"/>
      <c r="VIN377" s="50"/>
      <c r="VIO377" s="50"/>
      <c r="VIP377" s="50"/>
      <c r="VIQ377" s="50"/>
      <c r="VIR377" s="50"/>
      <c r="VIS377" s="50"/>
      <c r="VIT377" s="50"/>
      <c r="VIU377" s="50"/>
      <c r="VIV377" s="50"/>
      <c r="VIW377" s="50"/>
      <c r="VIX377" s="50"/>
      <c r="VIY377" s="50"/>
      <c r="VIZ377" s="50"/>
      <c r="VJA377" s="50"/>
      <c r="VJB377" s="50"/>
      <c r="VJC377" s="50"/>
      <c r="VJD377" s="50"/>
      <c r="VJE377" s="50"/>
      <c r="VJF377" s="50"/>
      <c r="VJG377" s="50"/>
      <c r="VJH377" s="50"/>
      <c r="VJI377" s="50"/>
      <c r="VJJ377" s="50"/>
      <c r="VJK377" s="50"/>
      <c r="VJL377" s="50"/>
      <c r="VJM377" s="50"/>
      <c r="VJN377" s="50"/>
      <c r="VJO377" s="50"/>
      <c r="VJP377" s="50"/>
      <c r="VJQ377" s="50"/>
      <c r="VJR377" s="50"/>
      <c r="VJS377" s="50"/>
      <c r="VJT377" s="50"/>
      <c r="VJU377" s="50"/>
      <c r="VJV377" s="50"/>
      <c r="VJW377" s="50"/>
      <c r="VJX377" s="50"/>
      <c r="VJY377" s="50"/>
      <c r="VJZ377" s="50"/>
      <c r="VKA377" s="50"/>
      <c r="VKB377" s="50"/>
      <c r="VKC377" s="50"/>
      <c r="VKD377" s="50"/>
      <c r="VKE377" s="50"/>
      <c r="VKF377" s="50"/>
      <c r="VKG377" s="50"/>
      <c r="VKH377" s="50"/>
      <c r="VKI377" s="50"/>
      <c r="VKJ377" s="50"/>
      <c r="VKK377" s="50"/>
      <c r="VKL377" s="50"/>
      <c r="VKM377" s="50"/>
      <c r="VKN377" s="50"/>
      <c r="VKO377" s="50"/>
      <c r="VKP377" s="50"/>
      <c r="VKQ377" s="50"/>
      <c r="VKR377" s="50"/>
      <c r="VKS377" s="50"/>
      <c r="VKT377" s="50"/>
      <c r="VKU377" s="50"/>
      <c r="VKV377" s="50"/>
      <c r="VKW377" s="50"/>
      <c r="VKX377" s="50"/>
      <c r="VKY377" s="50"/>
      <c r="VKZ377" s="50"/>
      <c r="VLA377" s="50"/>
      <c r="VLB377" s="50"/>
      <c r="VLC377" s="50"/>
      <c r="VLD377" s="50"/>
      <c r="VLE377" s="50"/>
      <c r="VLF377" s="50"/>
      <c r="VLG377" s="50"/>
      <c r="VLH377" s="50"/>
      <c r="VLI377" s="50"/>
      <c r="VLJ377" s="50"/>
      <c r="VLK377" s="50"/>
      <c r="VLL377" s="50"/>
      <c r="VLM377" s="50"/>
      <c r="VLN377" s="50"/>
      <c r="VLO377" s="50"/>
      <c r="VLP377" s="50"/>
      <c r="VLQ377" s="50"/>
      <c r="VLR377" s="50"/>
      <c r="VLS377" s="50"/>
      <c r="VLT377" s="50"/>
      <c r="VLU377" s="50"/>
      <c r="VLV377" s="50"/>
      <c r="VLW377" s="50"/>
      <c r="VLX377" s="50"/>
      <c r="VLY377" s="50"/>
      <c r="VLZ377" s="50"/>
      <c r="VMA377" s="50"/>
      <c r="VMB377" s="50"/>
      <c r="VMC377" s="50"/>
      <c r="VMD377" s="50"/>
      <c r="VME377" s="50"/>
      <c r="VMF377" s="50"/>
      <c r="VMG377" s="50"/>
      <c r="VMH377" s="50"/>
      <c r="VMI377" s="50"/>
      <c r="VMJ377" s="50"/>
      <c r="VMK377" s="50"/>
      <c r="VML377" s="50"/>
      <c r="VMM377" s="50"/>
      <c r="VMN377" s="50"/>
      <c r="VMO377" s="50"/>
      <c r="VMP377" s="50"/>
      <c r="VMQ377" s="50"/>
      <c r="VMR377" s="50"/>
      <c r="VMS377" s="50"/>
      <c r="VMT377" s="50"/>
      <c r="VMU377" s="50"/>
      <c r="VMV377" s="50"/>
      <c r="VMW377" s="50"/>
      <c r="VMX377" s="50"/>
      <c r="VMY377" s="50"/>
      <c r="VMZ377" s="50"/>
      <c r="VNA377" s="50"/>
      <c r="VNB377" s="50"/>
      <c r="VNC377" s="50"/>
      <c r="VND377" s="50"/>
      <c r="VNE377" s="50"/>
      <c r="VNF377" s="50"/>
      <c r="VNG377" s="50"/>
      <c r="VNH377" s="50"/>
      <c r="VNI377" s="50"/>
      <c r="VNJ377" s="50"/>
      <c r="VNK377" s="50"/>
      <c r="VNL377" s="50"/>
      <c r="VNM377" s="50"/>
      <c r="VNN377" s="50"/>
      <c r="VNO377" s="50"/>
      <c r="VNP377" s="50"/>
      <c r="VNQ377" s="50"/>
      <c r="VNR377" s="50"/>
      <c r="VNS377" s="50"/>
      <c r="VNT377" s="50"/>
      <c r="VNU377" s="50"/>
      <c r="VNV377" s="50"/>
      <c r="VNW377" s="50"/>
      <c r="VNX377" s="50"/>
      <c r="VNY377" s="50"/>
      <c r="VNZ377" s="50"/>
      <c r="VOA377" s="50"/>
      <c r="VOB377" s="50"/>
      <c r="VOC377" s="50"/>
      <c r="VOD377" s="50"/>
      <c r="VOE377" s="50"/>
      <c r="VOF377" s="50"/>
      <c r="VOG377" s="50"/>
      <c r="VOH377" s="50"/>
      <c r="VOI377" s="50"/>
      <c r="VOJ377" s="50"/>
      <c r="VOK377" s="50"/>
      <c r="VOL377" s="50"/>
      <c r="VOM377" s="50"/>
      <c r="VON377" s="50"/>
      <c r="VOO377" s="50"/>
      <c r="VOP377" s="50"/>
      <c r="VOQ377" s="50"/>
      <c r="VOR377" s="50"/>
      <c r="VOS377" s="50"/>
      <c r="VOT377" s="50"/>
      <c r="VOU377" s="50"/>
      <c r="VOV377" s="50"/>
      <c r="VOW377" s="50"/>
      <c r="VOX377" s="50"/>
      <c r="VOY377" s="50"/>
      <c r="VOZ377" s="50"/>
      <c r="VPA377" s="50"/>
      <c r="VPB377" s="50"/>
      <c r="VPC377" s="50"/>
      <c r="VPD377" s="50"/>
      <c r="VPE377" s="50"/>
      <c r="VPF377" s="50"/>
      <c r="VPG377" s="50"/>
      <c r="VPH377" s="50"/>
      <c r="VPI377" s="50"/>
      <c r="VPJ377" s="50"/>
      <c r="VPK377" s="50"/>
      <c r="VPL377" s="50"/>
      <c r="VPM377" s="50"/>
      <c r="VPN377" s="50"/>
      <c r="VPO377" s="50"/>
      <c r="VPP377" s="50"/>
      <c r="VPQ377" s="50"/>
      <c r="VPR377" s="50"/>
      <c r="VPS377" s="50"/>
      <c r="VPT377" s="50"/>
      <c r="VPU377" s="50"/>
      <c r="VPV377" s="50"/>
      <c r="VPW377" s="50"/>
      <c r="VPX377" s="50"/>
      <c r="VPY377" s="50"/>
      <c r="VPZ377" s="50"/>
      <c r="VQA377" s="50"/>
      <c r="VQB377" s="50"/>
      <c r="VQC377" s="50"/>
      <c r="VQD377" s="50"/>
      <c r="VQE377" s="50"/>
      <c r="VQF377" s="50"/>
      <c r="VQG377" s="50"/>
      <c r="VQH377" s="50"/>
      <c r="VQI377" s="50"/>
      <c r="VQJ377" s="50"/>
      <c r="VQK377" s="50"/>
      <c r="VQL377" s="50"/>
      <c r="VQM377" s="50"/>
      <c r="VQN377" s="50"/>
      <c r="VQO377" s="50"/>
      <c r="VQP377" s="50"/>
      <c r="VQQ377" s="50"/>
      <c r="VQR377" s="50"/>
      <c r="VQS377" s="50"/>
      <c r="VQT377" s="50"/>
      <c r="VQU377" s="50"/>
      <c r="VQV377" s="50"/>
      <c r="VQW377" s="50"/>
      <c r="VQX377" s="50"/>
      <c r="VQY377" s="50"/>
      <c r="VQZ377" s="50"/>
      <c r="VRA377" s="50"/>
      <c r="VRB377" s="50"/>
      <c r="VRC377" s="50"/>
      <c r="VRD377" s="50"/>
      <c r="VRE377" s="50"/>
      <c r="VRF377" s="50"/>
      <c r="VRG377" s="50"/>
      <c r="VRH377" s="50"/>
      <c r="VRI377" s="50"/>
      <c r="VRJ377" s="50"/>
      <c r="VRK377" s="50"/>
      <c r="VRL377" s="50"/>
      <c r="VRM377" s="50"/>
      <c r="VRN377" s="50"/>
      <c r="VRO377" s="50"/>
      <c r="VRP377" s="50"/>
      <c r="VRQ377" s="50"/>
      <c r="VRR377" s="50"/>
      <c r="VRS377" s="50"/>
      <c r="VRT377" s="50"/>
      <c r="VRU377" s="50"/>
      <c r="VRV377" s="50"/>
      <c r="VRW377" s="50"/>
      <c r="VRX377" s="50"/>
      <c r="VRY377" s="50"/>
      <c r="VRZ377" s="50"/>
      <c r="VSA377" s="50"/>
      <c r="VSB377" s="50"/>
      <c r="VSC377" s="50"/>
      <c r="VSD377" s="50"/>
      <c r="VSE377" s="50"/>
      <c r="VSF377" s="50"/>
      <c r="VSG377" s="50"/>
      <c r="VSH377" s="50"/>
      <c r="VSI377" s="50"/>
      <c r="VSJ377" s="50"/>
      <c r="VSK377" s="50"/>
      <c r="VSL377" s="50"/>
      <c r="VSM377" s="50"/>
      <c r="VSN377" s="50"/>
      <c r="VSO377" s="50"/>
      <c r="VSP377" s="50"/>
      <c r="VSQ377" s="50"/>
      <c r="VSR377" s="50"/>
      <c r="VSS377" s="50"/>
      <c r="VST377" s="50"/>
      <c r="VSU377" s="50"/>
      <c r="VSV377" s="50"/>
      <c r="VSW377" s="50"/>
      <c r="VSX377" s="50"/>
      <c r="VSY377" s="50"/>
      <c r="VSZ377" s="50"/>
      <c r="VTA377" s="50"/>
      <c r="VTB377" s="50"/>
      <c r="VTC377" s="50"/>
      <c r="VTD377" s="50"/>
      <c r="VTE377" s="50"/>
      <c r="VTF377" s="50"/>
      <c r="VTG377" s="50"/>
      <c r="VTH377" s="50"/>
      <c r="VTI377" s="50"/>
      <c r="VTJ377" s="50"/>
      <c r="VTK377" s="50"/>
      <c r="VTL377" s="50"/>
      <c r="VTM377" s="50"/>
      <c r="VTN377" s="50"/>
      <c r="VTO377" s="50"/>
      <c r="VTP377" s="50"/>
      <c r="VTQ377" s="50"/>
      <c r="VTR377" s="50"/>
      <c r="VTS377" s="50"/>
      <c r="VTT377" s="50"/>
      <c r="VTU377" s="50"/>
      <c r="VTV377" s="50"/>
      <c r="VTW377" s="50"/>
      <c r="VTX377" s="50"/>
      <c r="VTY377" s="50"/>
      <c r="VTZ377" s="50"/>
      <c r="VUA377" s="50"/>
      <c r="VUB377" s="50"/>
      <c r="VUC377" s="50"/>
      <c r="VUD377" s="50"/>
      <c r="VUE377" s="50"/>
      <c r="VUF377" s="50"/>
      <c r="VUG377" s="50"/>
      <c r="VUH377" s="50"/>
      <c r="VUI377" s="50"/>
      <c r="VUJ377" s="50"/>
      <c r="VUK377" s="50"/>
      <c r="VUL377" s="50"/>
      <c r="VUM377" s="50"/>
      <c r="VUN377" s="50"/>
      <c r="VUO377" s="50"/>
      <c r="VUP377" s="50"/>
      <c r="VUQ377" s="50"/>
      <c r="VUR377" s="50"/>
      <c r="VUS377" s="50"/>
      <c r="VUT377" s="50"/>
      <c r="VUU377" s="50"/>
      <c r="VUV377" s="50"/>
      <c r="VUW377" s="50"/>
      <c r="VUX377" s="50"/>
      <c r="VUY377" s="50"/>
      <c r="VUZ377" s="50"/>
      <c r="VVA377" s="50"/>
      <c r="VVB377" s="50"/>
      <c r="VVC377" s="50"/>
      <c r="VVD377" s="50"/>
      <c r="VVE377" s="50"/>
      <c r="VVF377" s="50"/>
      <c r="VVG377" s="50"/>
      <c r="VVH377" s="50"/>
      <c r="VVI377" s="50"/>
      <c r="VVJ377" s="50"/>
      <c r="VVK377" s="50"/>
      <c r="VVL377" s="50"/>
      <c r="VVM377" s="50"/>
      <c r="VVN377" s="50"/>
      <c r="VVO377" s="50"/>
      <c r="VVP377" s="50"/>
      <c r="VVQ377" s="50"/>
      <c r="VVR377" s="50"/>
      <c r="VVS377" s="50"/>
      <c r="VVT377" s="50"/>
      <c r="VVU377" s="50"/>
      <c r="VVV377" s="50"/>
      <c r="VVW377" s="50"/>
      <c r="VVX377" s="50"/>
      <c r="VVY377" s="50"/>
      <c r="VVZ377" s="50"/>
      <c r="VWA377" s="50"/>
      <c r="VWB377" s="50"/>
      <c r="VWC377" s="50"/>
      <c r="VWD377" s="50"/>
      <c r="VWE377" s="50"/>
      <c r="VWF377" s="50"/>
      <c r="VWG377" s="50"/>
      <c r="VWH377" s="50"/>
      <c r="VWI377" s="50"/>
      <c r="VWJ377" s="50"/>
      <c r="VWK377" s="50"/>
      <c r="VWL377" s="50"/>
      <c r="VWM377" s="50"/>
      <c r="VWN377" s="50"/>
      <c r="VWO377" s="50"/>
      <c r="VWP377" s="50"/>
      <c r="VWQ377" s="50"/>
      <c r="VWR377" s="50"/>
      <c r="VWS377" s="50"/>
      <c r="VWT377" s="50"/>
      <c r="VWU377" s="50"/>
      <c r="VWV377" s="50"/>
      <c r="VWW377" s="50"/>
      <c r="VWX377" s="50"/>
      <c r="VWY377" s="50"/>
      <c r="VWZ377" s="50"/>
      <c r="VXA377" s="50"/>
      <c r="VXB377" s="50"/>
      <c r="VXC377" s="50"/>
      <c r="VXD377" s="50"/>
      <c r="VXE377" s="50"/>
      <c r="VXF377" s="50"/>
      <c r="VXG377" s="50"/>
      <c r="VXH377" s="50"/>
      <c r="VXI377" s="50"/>
      <c r="VXJ377" s="50"/>
      <c r="VXK377" s="50"/>
      <c r="VXL377" s="50"/>
      <c r="VXM377" s="50"/>
      <c r="VXN377" s="50"/>
      <c r="VXO377" s="50"/>
      <c r="VXP377" s="50"/>
      <c r="VXQ377" s="50"/>
      <c r="VXR377" s="50"/>
      <c r="VXS377" s="50"/>
      <c r="VXT377" s="50"/>
      <c r="VXU377" s="50"/>
      <c r="VXV377" s="50"/>
      <c r="VXW377" s="50"/>
      <c r="VXX377" s="50"/>
      <c r="VXY377" s="50"/>
      <c r="VXZ377" s="50"/>
      <c r="VYA377" s="50"/>
      <c r="VYB377" s="50"/>
      <c r="VYC377" s="50"/>
      <c r="VYD377" s="50"/>
      <c r="VYE377" s="50"/>
      <c r="VYF377" s="50"/>
      <c r="VYG377" s="50"/>
      <c r="VYH377" s="50"/>
      <c r="VYI377" s="50"/>
      <c r="VYJ377" s="50"/>
      <c r="VYK377" s="50"/>
      <c r="VYL377" s="50"/>
      <c r="VYM377" s="50"/>
      <c r="VYN377" s="50"/>
      <c r="VYO377" s="50"/>
      <c r="VYP377" s="50"/>
      <c r="VYQ377" s="50"/>
      <c r="VYR377" s="50"/>
      <c r="VYS377" s="50"/>
      <c r="VYT377" s="50"/>
      <c r="VYU377" s="50"/>
      <c r="VYV377" s="50"/>
      <c r="VYW377" s="50"/>
      <c r="VYX377" s="50"/>
      <c r="VYY377" s="50"/>
      <c r="VYZ377" s="50"/>
      <c r="VZA377" s="50"/>
      <c r="VZB377" s="50"/>
      <c r="VZC377" s="50"/>
      <c r="VZD377" s="50"/>
      <c r="VZE377" s="50"/>
      <c r="VZF377" s="50"/>
      <c r="VZG377" s="50"/>
      <c r="VZH377" s="50"/>
      <c r="VZI377" s="50"/>
      <c r="VZJ377" s="50"/>
      <c r="VZK377" s="50"/>
      <c r="VZL377" s="50"/>
      <c r="VZM377" s="50"/>
      <c r="VZN377" s="50"/>
      <c r="VZO377" s="50"/>
      <c r="VZP377" s="50"/>
      <c r="VZQ377" s="50"/>
      <c r="VZR377" s="50"/>
      <c r="VZS377" s="50"/>
      <c r="VZT377" s="50"/>
      <c r="VZU377" s="50"/>
      <c r="VZV377" s="50"/>
      <c r="VZW377" s="50"/>
      <c r="VZX377" s="50"/>
      <c r="VZY377" s="50"/>
      <c r="VZZ377" s="50"/>
      <c r="WAA377" s="50"/>
      <c r="WAB377" s="50"/>
      <c r="WAC377" s="50"/>
      <c r="WAD377" s="50"/>
      <c r="WAE377" s="50"/>
      <c r="WAF377" s="50"/>
      <c r="WAG377" s="50"/>
      <c r="WAH377" s="50"/>
      <c r="WAI377" s="50"/>
      <c r="WAJ377" s="50"/>
      <c r="WAK377" s="50"/>
      <c r="WAL377" s="50"/>
      <c r="WAM377" s="50"/>
      <c r="WAN377" s="50"/>
      <c r="WAO377" s="50"/>
      <c r="WAP377" s="50"/>
      <c r="WAQ377" s="50"/>
      <c r="WAR377" s="50"/>
      <c r="WAS377" s="50"/>
      <c r="WAT377" s="50"/>
      <c r="WAU377" s="50"/>
      <c r="WAV377" s="50"/>
      <c r="WAW377" s="50"/>
      <c r="WAX377" s="50"/>
      <c r="WAY377" s="50"/>
      <c r="WAZ377" s="50"/>
      <c r="WBA377" s="50"/>
      <c r="WBB377" s="50"/>
      <c r="WBC377" s="50"/>
      <c r="WBD377" s="50"/>
      <c r="WBE377" s="50"/>
      <c r="WBF377" s="50"/>
      <c r="WBG377" s="50"/>
      <c r="WBH377" s="50"/>
      <c r="WBI377" s="50"/>
      <c r="WBJ377" s="50"/>
      <c r="WBK377" s="50"/>
      <c r="WBL377" s="50"/>
      <c r="WBM377" s="50"/>
      <c r="WBN377" s="50"/>
      <c r="WBO377" s="50"/>
      <c r="WBP377" s="50"/>
      <c r="WBQ377" s="50"/>
      <c r="WBR377" s="50"/>
      <c r="WBS377" s="50"/>
      <c r="WBT377" s="50"/>
      <c r="WBU377" s="50"/>
      <c r="WBV377" s="50"/>
      <c r="WBW377" s="50"/>
      <c r="WBX377" s="50"/>
      <c r="WBY377" s="50"/>
      <c r="WBZ377" s="50"/>
      <c r="WCA377" s="50"/>
      <c r="WCB377" s="50"/>
      <c r="WCC377" s="50"/>
      <c r="WCD377" s="50"/>
      <c r="WCE377" s="50"/>
      <c r="WCF377" s="50"/>
      <c r="WCG377" s="50"/>
      <c r="WCH377" s="50"/>
      <c r="WCI377" s="50"/>
      <c r="WCJ377" s="50"/>
      <c r="WCK377" s="50"/>
      <c r="WCL377" s="50"/>
      <c r="WCM377" s="50"/>
      <c r="WCN377" s="50"/>
      <c r="WCO377" s="50"/>
      <c r="WCP377" s="50"/>
      <c r="WCQ377" s="50"/>
      <c r="WCR377" s="50"/>
      <c r="WCS377" s="50"/>
      <c r="WCT377" s="50"/>
      <c r="WCU377" s="50"/>
      <c r="WCV377" s="50"/>
      <c r="WCW377" s="50"/>
      <c r="WCX377" s="50"/>
      <c r="WCY377" s="50"/>
      <c r="WCZ377" s="50"/>
      <c r="WDA377" s="50"/>
      <c r="WDB377" s="50"/>
      <c r="WDC377" s="50"/>
      <c r="WDD377" s="50"/>
      <c r="WDE377" s="50"/>
      <c r="WDF377" s="50"/>
      <c r="WDG377" s="50"/>
      <c r="WDH377" s="50"/>
      <c r="WDI377" s="50"/>
      <c r="WDJ377" s="50"/>
      <c r="WDK377" s="50"/>
      <c r="WDL377" s="50"/>
      <c r="WDM377" s="50"/>
      <c r="WDN377" s="50"/>
      <c r="WDO377" s="50"/>
      <c r="WDP377" s="50"/>
      <c r="WDQ377" s="50"/>
      <c r="WDR377" s="50"/>
      <c r="WDS377" s="50"/>
      <c r="WDT377" s="50"/>
      <c r="WDU377" s="50"/>
      <c r="WDV377" s="50"/>
      <c r="WDW377" s="50"/>
      <c r="WDX377" s="50"/>
      <c r="WDY377" s="50"/>
      <c r="WDZ377" s="50"/>
      <c r="WEA377" s="50"/>
      <c r="WEB377" s="50"/>
      <c r="WEC377" s="50"/>
      <c r="WED377" s="50"/>
      <c r="WEE377" s="50"/>
      <c r="WEF377" s="50"/>
      <c r="WEG377" s="50"/>
      <c r="WEH377" s="50"/>
      <c r="WEI377" s="50"/>
      <c r="WEJ377" s="50"/>
      <c r="WEK377" s="50"/>
      <c r="WEL377" s="50"/>
      <c r="WEM377" s="50"/>
      <c r="WEN377" s="50"/>
      <c r="WEO377" s="50"/>
      <c r="WEP377" s="50"/>
      <c r="WEQ377" s="50"/>
      <c r="WER377" s="50"/>
      <c r="WES377" s="50"/>
      <c r="WET377" s="50"/>
      <c r="WEU377" s="50"/>
      <c r="WEV377" s="50"/>
      <c r="WEW377" s="50"/>
      <c r="WEX377" s="50"/>
      <c r="WEY377" s="50"/>
      <c r="WEZ377" s="50"/>
      <c r="WFA377" s="50"/>
      <c r="WFB377" s="50"/>
      <c r="WFC377" s="50"/>
      <c r="WFD377" s="50"/>
      <c r="WFE377" s="50"/>
      <c r="WFF377" s="50"/>
      <c r="WFG377" s="50"/>
      <c r="WFH377" s="50"/>
      <c r="WFI377" s="50"/>
      <c r="WFJ377" s="50"/>
      <c r="WFK377" s="50"/>
      <c r="WFL377" s="50"/>
      <c r="WFM377" s="50"/>
      <c r="WFN377" s="50"/>
      <c r="WFO377" s="50"/>
      <c r="WFP377" s="50"/>
      <c r="WFQ377" s="50"/>
      <c r="WFR377" s="50"/>
      <c r="WFS377" s="50"/>
      <c r="WFT377" s="50"/>
      <c r="WFU377" s="50"/>
      <c r="WFV377" s="50"/>
      <c r="WFW377" s="50"/>
      <c r="WFX377" s="50"/>
      <c r="WFY377" s="50"/>
      <c r="WFZ377" s="50"/>
      <c r="WGA377" s="50"/>
      <c r="WGB377" s="50"/>
      <c r="WGC377" s="50"/>
      <c r="WGD377" s="50"/>
      <c r="WGE377" s="50"/>
      <c r="WGF377" s="50"/>
      <c r="WGG377" s="50"/>
      <c r="WGH377" s="50"/>
      <c r="WGI377" s="50"/>
      <c r="WGJ377" s="50"/>
      <c r="WGK377" s="50"/>
      <c r="WGL377" s="50"/>
      <c r="WGM377" s="50"/>
      <c r="WGN377" s="50"/>
      <c r="WGO377" s="50"/>
      <c r="WGP377" s="50"/>
      <c r="WGQ377" s="50"/>
      <c r="WGR377" s="50"/>
      <c r="WGS377" s="50"/>
      <c r="WGT377" s="50"/>
      <c r="WGU377" s="50"/>
      <c r="WGV377" s="50"/>
      <c r="WGW377" s="50"/>
      <c r="WGX377" s="50"/>
      <c r="WGY377" s="50"/>
      <c r="WGZ377" s="50"/>
      <c r="WHA377" s="50"/>
      <c r="WHB377" s="50"/>
      <c r="WHC377" s="50"/>
      <c r="WHD377" s="50"/>
      <c r="WHE377" s="50"/>
      <c r="WHF377" s="50"/>
      <c r="WHG377" s="50"/>
      <c r="WHH377" s="50"/>
      <c r="WHI377" s="50"/>
      <c r="WHJ377" s="50"/>
      <c r="WHK377" s="50"/>
      <c r="WHL377" s="50"/>
      <c r="WHM377" s="50"/>
      <c r="WHN377" s="50"/>
      <c r="WHO377" s="50"/>
      <c r="WHP377" s="50"/>
      <c r="WHQ377" s="50"/>
      <c r="WHR377" s="50"/>
      <c r="WHS377" s="50"/>
      <c r="WHT377" s="50"/>
      <c r="WHU377" s="50"/>
      <c r="WHV377" s="50"/>
      <c r="WHW377" s="50"/>
      <c r="WHX377" s="50"/>
      <c r="WHY377" s="50"/>
      <c r="WHZ377" s="50"/>
      <c r="WIA377" s="50"/>
      <c r="WIB377" s="50"/>
      <c r="WIC377" s="50"/>
      <c r="WID377" s="50"/>
      <c r="WIE377" s="50"/>
      <c r="WIF377" s="50"/>
      <c r="WIG377" s="50"/>
      <c r="WIH377" s="50"/>
      <c r="WII377" s="50"/>
      <c r="WIJ377" s="50"/>
      <c r="WIK377" s="50"/>
      <c r="WIL377" s="50"/>
      <c r="WIM377" s="50"/>
      <c r="WIN377" s="50"/>
      <c r="WIO377" s="50"/>
      <c r="WIP377" s="50"/>
      <c r="WIQ377" s="50"/>
      <c r="WIR377" s="50"/>
      <c r="WIS377" s="50"/>
      <c r="WIT377" s="50"/>
      <c r="WIU377" s="50"/>
      <c r="WIV377" s="50"/>
      <c r="WIW377" s="50"/>
      <c r="WIX377" s="50"/>
      <c r="WIY377" s="50"/>
      <c r="WIZ377" s="50"/>
      <c r="WJA377" s="50"/>
      <c r="WJB377" s="50"/>
      <c r="WJC377" s="50"/>
      <c r="WJD377" s="50"/>
      <c r="WJE377" s="50"/>
      <c r="WJF377" s="50"/>
      <c r="WJG377" s="50"/>
      <c r="WJH377" s="50"/>
      <c r="WJI377" s="50"/>
      <c r="WJJ377" s="50"/>
      <c r="WJK377" s="50"/>
      <c r="WJL377" s="50"/>
      <c r="WJM377" s="50"/>
      <c r="WJN377" s="50"/>
      <c r="WJO377" s="50"/>
      <c r="WJP377" s="50"/>
      <c r="WJQ377" s="50"/>
      <c r="WJR377" s="50"/>
      <c r="WJS377" s="50"/>
      <c r="WJT377" s="50"/>
      <c r="WJU377" s="50"/>
      <c r="WJV377" s="50"/>
      <c r="WJW377" s="50"/>
      <c r="WJX377" s="50"/>
      <c r="WJY377" s="50"/>
      <c r="WJZ377" s="50"/>
      <c r="WKA377" s="50"/>
      <c r="WKB377" s="50"/>
      <c r="WKC377" s="50"/>
      <c r="WKD377" s="50"/>
      <c r="WKE377" s="50"/>
      <c r="WKF377" s="50"/>
      <c r="WKG377" s="50"/>
      <c r="WKH377" s="50"/>
      <c r="WKI377" s="50"/>
      <c r="WKJ377" s="50"/>
      <c r="WKK377" s="50"/>
      <c r="WKL377" s="50"/>
      <c r="WKM377" s="50"/>
      <c r="WKN377" s="50"/>
      <c r="WKO377" s="50"/>
      <c r="WKP377" s="50"/>
      <c r="WKQ377" s="50"/>
      <c r="WKR377" s="50"/>
      <c r="WKS377" s="50"/>
      <c r="WKT377" s="50"/>
      <c r="WKU377" s="50"/>
      <c r="WKV377" s="50"/>
      <c r="WKW377" s="50"/>
      <c r="WKX377" s="50"/>
      <c r="WKY377" s="50"/>
      <c r="WKZ377" s="50"/>
      <c r="WLA377" s="50"/>
      <c r="WLB377" s="50"/>
      <c r="WLC377" s="50"/>
      <c r="WLD377" s="50"/>
      <c r="WLE377" s="50"/>
      <c r="WLF377" s="50"/>
      <c r="WLG377" s="50"/>
      <c r="WLH377" s="50"/>
      <c r="WLI377" s="50"/>
      <c r="WLJ377" s="50"/>
      <c r="WLK377" s="50"/>
      <c r="WLL377" s="50"/>
      <c r="WLM377" s="50"/>
      <c r="WLN377" s="50"/>
      <c r="WLO377" s="50"/>
      <c r="WLP377" s="50"/>
      <c r="WLQ377" s="50"/>
      <c r="WLR377" s="50"/>
      <c r="WLS377" s="50"/>
      <c r="WLT377" s="50"/>
      <c r="WLU377" s="50"/>
      <c r="WLV377" s="50"/>
      <c r="WLW377" s="50"/>
      <c r="WLX377" s="50"/>
      <c r="WLY377" s="50"/>
      <c r="WLZ377" s="50"/>
      <c r="WMA377" s="50"/>
      <c r="WMB377" s="50"/>
      <c r="WMC377" s="50"/>
      <c r="WMD377" s="50"/>
      <c r="WME377" s="50"/>
      <c r="WMF377" s="50"/>
      <c r="WMG377" s="50"/>
      <c r="WMH377" s="50"/>
      <c r="WMI377" s="50"/>
      <c r="WMJ377" s="50"/>
      <c r="WMK377" s="50"/>
      <c r="WML377" s="50"/>
      <c r="WMM377" s="50"/>
      <c r="WMN377" s="50"/>
      <c r="WMO377" s="50"/>
      <c r="WMP377" s="50"/>
      <c r="WMQ377" s="50"/>
      <c r="WMR377" s="50"/>
      <c r="WMS377" s="50"/>
      <c r="WMT377" s="50"/>
      <c r="WMU377" s="50"/>
      <c r="WMV377" s="50"/>
      <c r="WMW377" s="50"/>
      <c r="WMX377" s="50"/>
      <c r="WMY377" s="50"/>
      <c r="WMZ377" s="50"/>
      <c r="WNA377" s="50"/>
      <c r="WNB377" s="50"/>
      <c r="WNC377" s="50"/>
      <c r="WND377" s="50"/>
      <c r="WNE377" s="50"/>
      <c r="WNF377" s="50"/>
      <c r="WNG377" s="50"/>
      <c r="WNH377" s="50"/>
      <c r="WNI377" s="50"/>
      <c r="WNJ377" s="50"/>
      <c r="WNK377" s="50"/>
      <c r="WNL377" s="50"/>
      <c r="WNM377" s="50"/>
      <c r="WNN377" s="50"/>
      <c r="WNO377" s="50"/>
      <c r="WNP377" s="50"/>
      <c r="WNQ377" s="50"/>
      <c r="WNR377" s="50"/>
      <c r="WNS377" s="50"/>
      <c r="WNT377" s="50"/>
      <c r="WNU377" s="50"/>
      <c r="WNV377" s="50"/>
      <c r="WNW377" s="50"/>
      <c r="WNX377" s="50"/>
      <c r="WNY377" s="50"/>
      <c r="WNZ377" s="50"/>
      <c r="WOA377" s="50"/>
      <c r="WOB377" s="50"/>
      <c r="WOC377" s="50"/>
      <c r="WOD377" s="50"/>
      <c r="WOE377" s="50"/>
      <c r="WOF377" s="50"/>
      <c r="WOG377" s="50"/>
      <c r="WOH377" s="50"/>
      <c r="WOI377" s="50"/>
      <c r="WOJ377" s="50"/>
      <c r="WOK377" s="50"/>
      <c r="WOL377" s="50"/>
      <c r="WOM377" s="50"/>
      <c r="WON377" s="50"/>
      <c r="WOO377" s="50"/>
      <c r="WOP377" s="50"/>
      <c r="WOQ377" s="50"/>
      <c r="WOR377" s="50"/>
      <c r="WOS377" s="50"/>
      <c r="WOT377" s="50"/>
      <c r="WOU377" s="50"/>
      <c r="WOV377" s="50"/>
      <c r="WOW377" s="50"/>
      <c r="WOX377" s="50"/>
      <c r="WOY377" s="50"/>
      <c r="WOZ377" s="50"/>
      <c r="WPA377" s="50"/>
      <c r="WPB377" s="50"/>
      <c r="WPC377" s="50"/>
      <c r="WPD377" s="50"/>
      <c r="WPE377" s="50"/>
      <c r="WPF377" s="50"/>
      <c r="WPG377" s="50"/>
      <c r="WPH377" s="50"/>
      <c r="WPI377" s="50"/>
      <c r="WPJ377" s="50"/>
      <c r="WPK377" s="50"/>
      <c r="WPL377" s="50"/>
      <c r="WPM377" s="50"/>
      <c r="WPN377" s="50"/>
      <c r="WPO377" s="50"/>
      <c r="WPP377" s="50"/>
      <c r="WPQ377" s="50"/>
      <c r="WPR377" s="50"/>
      <c r="WPS377" s="50"/>
      <c r="WPT377" s="50"/>
      <c r="WPU377" s="50"/>
      <c r="WPV377" s="50"/>
      <c r="WPW377" s="50"/>
      <c r="WPX377" s="50"/>
      <c r="WPY377" s="50"/>
      <c r="WPZ377" s="50"/>
      <c r="WQA377" s="50"/>
      <c r="WQB377" s="50"/>
      <c r="WQC377" s="50"/>
      <c r="WQD377" s="50"/>
      <c r="WQE377" s="50"/>
      <c r="WQF377" s="50"/>
      <c r="WQG377" s="50"/>
      <c r="WQH377" s="50"/>
      <c r="WQI377" s="50"/>
      <c r="WQJ377" s="50"/>
      <c r="WQK377" s="50"/>
      <c r="WQL377" s="50"/>
      <c r="WQM377" s="50"/>
      <c r="WQN377" s="50"/>
      <c r="WQO377" s="50"/>
      <c r="WQP377" s="50"/>
      <c r="WQQ377" s="50"/>
      <c r="WQR377" s="50"/>
      <c r="WQS377" s="50"/>
      <c r="WQT377" s="50"/>
      <c r="WQU377" s="50"/>
      <c r="WQV377" s="50"/>
      <c r="WQW377" s="50"/>
      <c r="WQX377" s="50"/>
      <c r="WQY377" s="50"/>
      <c r="WQZ377" s="50"/>
      <c r="WRA377" s="50"/>
      <c r="WRB377" s="50"/>
      <c r="WRC377" s="50"/>
      <c r="WRD377" s="50"/>
      <c r="WRE377" s="50"/>
      <c r="WRF377" s="50"/>
      <c r="WRG377" s="50"/>
      <c r="WRH377" s="50"/>
      <c r="WRI377" s="50"/>
      <c r="WRJ377" s="50"/>
      <c r="WRK377" s="50"/>
      <c r="WRL377" s="50"/>
      <c r="WRM377" s="50"/>
      <c r="WRN377" s="50"/>
      <c r="WRO377" s="50"/>
      <c r="WRP377" s="50"/>
      <c r="WRQ377" s="50"/>
      <c r="WRR377" s="50"/>
      <c r="WRS377" s="50"/>
      <c r="WRT377" s="50"/>
      <c r="WRU377" s="50"/>
      <c r="WRV377" s="50"/>
      <c r="WRW377" s="50"/>
      <c r="WRX377" s="50"/>
      <c r="WRY377" s="50"/>
      <c r="WRZ377" s="50"/>
      <c r="WSA377" s="50"/>
      <c r="WSB377" s="50"/>
      <c r="WSC377" s="50"/>
      <c r="WSD377" s="50"/>
      <c r="WSE377" s="50"/>
      <c r="WSF377" s="50"/>
      <c r="WSG377" s="50"/>
      <c r="WSH377" s="50"/>
      <c r="WSI377" s="50"/>
      <c r="WSJ377" s="50"/>
      <c r="WSK377" s="50"/>
      <c r="WSL377" s="50"/>
      <c r="WSM377" s="50"/>
      <c r="WSN377" s="50"/>
      <c r="WSO377" s="50"/>
      <c r="WSP377" s="50"/>
      <c r="WSQ377" s="50"/>
      <c r="WSR377" s="50"/>
      <c r="WSS377" s="50"/>
      <c r="WST377" s="50"/>
      <c r="WSU377" s="50"/>
      <c r="WSV377" s="50"/>
      <c r="WSW377" s="50"/>
      <c r="WSX377" s="50"/>
      <c r="WSY377" s="50"/>
      <c r="WSZ377" s="50"/>
      <c r="WTA377" s="50"/>
      <c r="WTB377" s="50"/>
      <c r="WTC377" s="50"/>
      <c r="WTD377" s="50"/>
      <c r="WTE377" s="50"/>
      <c r="WTF377" s="50"/>
      <c r="WTG377" s="50"/>
      <c r="WTH377" s="50"/>
      <c r="WTI377" s="50"/>
      <c r="WTJ377" s="50"/>
      <c r="WTK377" s="50"/>
      <c r="WTL377" s="50"/>
      <c r="WTM377" s="50"/>
      <c r="WTN377" s="50"/>
      <c r="WTO377" s="50"/>
      <c r="WTP377" s="50"/>
      <c r="WTQ377" s="50"/>
      <c r="WTR377" s="50"/>
      <c r="WTS377" s="50"/>
      <c r="WTT377" s="50"/>
      <c r="WTU377" s="50"/>
      <c r="WTV377" s="50"/>
      <c r="WTW377" s="50"/>
      <c r="WTX377" s="50"/>
      <c r="WTY377" s="50"/>
      <c r="WTZ377" s="50"/>
      <c r="WUA377" s="50"/>
      <c r="WUB377" s="50"/>
      <c r="WUC377" s="50"/>
      <c r="WUD377" s="50"/>
      <c r="WUE377" s="50"/>
      <c r="WUF377" s="50"/>
      <c r="WUG377" s="50"/>
      <c r="WUH377" s="50"/>
      <c r="WUI377" s="50"/>
      <c r="WUJ377" s="50"/>
      <c r="WUK377" s="50"/>
      <c r="WUL377" s="50"/>
      <c r="WUM377" s="50"/>
      <c r="WUN377" s="50"/>
      <c r="WUO377" s="50"/>
      <c r="WUP377" s="50"/>
      <c r="WUQ377" s="50"/>
      <c r="WUR377" s="50"/>
      <c r="WUS377" s="50"/>
      <c r="WUT377" s="50"/>
      <c r="WUU377" s="50"/>
      <c r="WUV377" s="50"/>
      <c r="WUW377" s="50"/>
      <c r="WUX377" s="50"/>
      <c r="WUY377" s="50"/>
      <c r="WUZ377" s="50"/>
      <c r="WVA377" s="50"/>
      <c r="WVB377" s="50"/>
      <c r="WVC377" s="50"/>
      <c r="WVD377" s="50"/>
      <c r="WVE377" s="50"/>
      <c r="WVF377" s="50"/>
      <c r="WVG377" s="50"/>
      <c r="WVH377" s="50"/>
      <c r="WVI377" s="50"/>
      <c r="WVJ377" s="50"/>
      <c r="WVK377" s="50"/>
      <c r="WVL377" s="50"/>
      <c r="WVM377" s="50"/>
      <c r="WVN377" s="50"/>
      <c r="WVO377" s="50"/>
      <c r="WVP377" s="50"/>
      <c r="WVQ377" s="50"/>
      <c r="WVR377" s="50"/>
      <c r="WVS377" s="50"/>
      <c r="WVT377" s="50"/>
      <c r="WVU377" s="50"/>
      <c r="WVV377" s="50"/>
      <c r="WVW377" s="50"/>
      <c r="WVX377" s="50"/>
      <c r="WVY377" s="50"/>
      <c r="WVZ377" s="50"/>
      <c r="WWA377" s="50"/>
      <c r="WWB377" s="50"/>
      <c r="WWC377" s="50"/>
      <c r="WWD377" s="50"/>
      <c r="WWE377" s="50"/>
      <c r="WWF377" s="50"/>
      <c r="WWG377" s="50"/>
      <c r="WWH377" s="50"/>
      <c r="WWI377" s="50"/>
      <c r="WWJ377" s="50"/>
      <c r="WWK377" s="50"/>
      <c r="WWL377" s="50"/>
      <c r="WWM377" s="50"/>
      <c r="WWN377" s="50"/>
      <c r="WWO377" s="50"/>
      <c r="WWP377" s="50"/>
      <c r="WWQ377" s="50"/>
      <c r="WWR377" s="50"/>
      <c r="WWS377" s="50"/>
      <c r="WWT377" s="50"/>
      <c r="WWU377" s="50"/>
      <c r="WWV377" s="50"/>
      <c r="WWW377" s="50"/>
      <c r="WWX377" s="50"/>
      <c r="WWY377" s="50"/>
      <c r="WWZ377" s="50"/>
      <c r="WXA377" s="50"/>
      <c r="WXB377" s="50"/>
      <c r="WXC377" s="50"/>
      <c r="WXD377" s="50"/>
      <c r="WXE377" s="50"/>
      <c r="WXF377" s="50"/>
      <c r="WXG377" s="50"/>
      <c r="WXH377" s="50"/>
      <c r="WXI377" s="50"/>
      <c r="WXJ377" s="50"/>
      <c r="WXK377" s="50"/>
      <c r="WXL377" s="50"/>
      <c r="WXM377" s="50"/>
      <c r="WXN377" s="50"/>
      <c r="WXO377" s="50"/>
      <c r="WXP377" s="50"/>
      <c r="WXQ377" s="50"/>
      <c r="WXR377" s="50"/>
      <c r="WXS377" s="50"/>
      <c r="WXT377" s="50"/>
      <c r="WXU377" s="50"/>
      <c r="WXV377" s="50"/>
      <c r="WXW377" s="50"/>
      <c r="WXX377" s="50"/>
      <c r="WXY377" s="50"/>
      <c r="WXZ377" s="50"/>
      <c r="WYA377" s="50"/>
      <c r="WYB377" s="50"/>
      <c r="WYC377" s="50"/>
      <c r="WYD377" s="50"/>
      <c r="WYE377" s="50"/>
      <c r="WYF377" s="50"/>
      <c r="WYG377" s="50"/>
      <c r="WYH377" s="50"/>
      <c r="WYI377" s="50"/>
      <c r="WYJ377" s="50"/>
      <c r="WYK377" s="50"/>
      <c r="WYL377" s="50"/>
      <c r="WYM377" s="50"/>
      <c r="WYN377" s="50"/>
      <c r="WYO377" s="50"/>
      <c r="WYP377" s="50"/>
      <c r="WYQ377" s="50"/>
      <c r="WYR377" s="50"/>
      <c r="WYS377" s="50"/>
      <c r="WYT377" s="50"/>
      <c r="WYU377" s="50"/>
      <c r="WYV377" s="50"/>
      <c r="WYW377" s="50"/>
      <c r="WYX377" s="50"/>
      <c r="WYY377" s="50"/>
      <c r="WYZ377" s="50"/>
      <c r="WZA377" s="50"/>
      <c r="WZB377" s="50"/>
      <c r="WZC377" s="50"/>
      <c r="WZD377" s="50"/>
      <c r="WZE377" s="50"/>
      <c r="WZF377" s="50"/>
      <c r="WZG377" s="50"/>
      <c r="WZH377" s="50"/>
      <c r="WZI377" s="50"/>
      <c r="WZJ377" s="50"/>
      <c r="WZK377" s="50"/>
      <c r="WZL377" s="50"/>
      <c r="WZM377" s="50"/>
      <c r="WZN377" s="50"/>
      <c r="WZO377" s="50"/>
      <c r="WZP377" s="50"/>
      <c r="WZQ377" s="50"/>
      <c r="WZR377" s="50"/>
      <c r="WZS377" s="50"/>
      <c r="WZT377" s="50"/>
      <c r="WZU377" s="50"/>
      <c r="WZV377" s="50"/>
      <c r="WZW377" s="50"/>
      <c r="WZX377" s="50"/>
      <c r="WZY377" s="50"/>
      <c r="WZZ377" s="50"/>
      <c r="XAA377" s="50"/>
      <c r="XAB377" s="50"/>
      <c r="XAC377" s="50"/>
      <c r="XAD377" s="50"/>
      <c r="XAE377" s="50"/>
      <c r="XAF377" s="50"/>
      <c r="XAG377" s="50"/>
      <c r="XAH377" s="50"/>
      <c r="XAI377" s="50"/>
      <c r="XAJ377" s="50"/>
      <c r="XAK377" s="50"/>
      <c r="XAL377" s="50"/>
      <c r="XAM377" s="50"/>
      <c r="XAN377" s="50"/>
      <c r="XAO377" s="50"/>
      <c r="XAP377" s="50"/>
      <c r="XAQ377" s="50"/>
      <c r="XAR377" s="50"/>
      <c r="XAS377" s="50"/>
      <c r="XAT377" s="50"/>
      <c r="XAU377" s="50"/>
      <c r="XAV377" s="50"/>
      <c r="XAW377" s="50"/>
      <c r="XAX377" s="50"/>
      <c r="XAY377" s="50"/>
      <c r="XAZ377" s="50"/>
      <c r="XBA377" s="50"/>
      <c r="XBB377" s="50"/>
      <c r="XBC377" s="50"/>
      <c r="XBD377" s="50"/>
      <c r="XBE377" s="50"/>
      <c r="XBF377" s="50"/>
      <c r="XBG377" s="50"/>
      <c r="XBH377" s="50"/>
      <c r="XBI377" s="50"/>
      <c r="XBJ377" s="50"/>
      <c r="XBK377" s="50"/>
      <c r="XBL377" s="50"/>
      <c r="XBM377" s="50"/>
      <c r="XBN377" s="50"/>
      <c r="XBO377" s="50"/>
      <c r="XBP377" s="50"/>
      <c r="XBQ377" s="50"/>
      <c r="XBR377" s="50"/>
      <c r="XBS377" s="50"/>
      <c r="XBT377" s="50"/>
      <c r="XBU377" s="50"/>
      <c r="XBV377" s="50"/>
      <c r="XBW377" s="50"/>
      <c r="XBX377" s="50"/>
      <c r="XBY377" s="50"/>
      <c r="XBZ377" s="50"/>
      <c r="XCA377" s="50"/>
      <c r="XCB377" s="50"/>
      <c r="XCC377" s="50"/>
      <c r="XCD377" s="50"/>
      <c r="XCE377" s="50"/>
      <c r="XCF377" s="50"/>
      <c r="XCG377" s="50"/>
      <c r="XCH377" s="50"/>
      <c r="XCI377" s="50"/>
      <c r="XCJ377" s="50"/>
      <c r="XCK377" s="50"/>
      <c r="XCL377" s="50"/>
      <c r="XCM377" s="50"/>
      <c r="XCN377" s="50"/>
      <c r="XCO377" s="50"/>
      <c r="XCP377" s="50"/>
      <c r="XCQ377" s="50"/>
      <c r="XCR377" s="50"/>
      <c r="XCS377" s="50"/>
      <c r="XCT377" s="50"/>
      <c r="XCU377" s="50"/>
      <c r="XCV377" s="50"/>
      <c r="XCW377" s="50"/>
      <c r="XCX377" s="50"/>
      <c r="XCY377" s="50"/>
      <c r="XCZ377" s="50"/>
      <c r="XDA377" s="50"/>
      <c r="XDB377" s="50"/>
      <c r="XDC377" s="50"/>
      <c r="XDD377" s="50"/>
      <c r="XDE377" s="50"/>
      <c r="XDF377" s="50"/>
      <c r="XDG377" s="50"/>
      <c r="XDH377" s="50"/>
      <c r="XDI377" s="50"/>
      <c r="XDJ377" s="50"/>
      <c r="XDK377" s="50"/>
      <c r="XDL377" s="50"/>
      <c r="XDM377" s="50"/>
      <c r="XDN377" s="50"/>
      <c r="XDO377" s="50"/>
      <c r="XDP377" s="50"/>
      <c r="XDQ377" s="50"/>
      <c r="XDR377" s="50"/>
      <c r="XDS377" s="50"/>
      <c r="XDT377" s="50"/>
      <c r="XDU377" s="50"/>
      <c r="XDV377" s="50"/>
      <c r="XDW377" s="50"/>
      <c r="XDX377" s="50"/>
      <c r="XDY377" s="50"/>
      <c r="XDZ377" s="50"/>
      <c r="XEA377" s="50"/>
      <c r="XEB377" s="50"/>
      <c r="XEC377" s="50"/>
      <c r="XED377" s="50"/>
      <c r="XEE377" s="50"/>
      <c r="XEF377" s="50"/>
      <c r="XEG377" s="50"/>
      <c r="XEH377" s="50"/>
      <c r="XEI377" s="50"/>
      <c r="XEJ377" s="50"/>
      <c r="XEK377" s="50"/>
      <c r="XEL377" s="50"/>
      <c r="XEM377" s="50"/>
      <c r="XEN377" s="50"/>
      <c r="XEO377" s="50"/>
      <c r="XEP377" s="50"/>
      <c r="XEQ377" s="50"/>
      <c r="XER377" s="50"/>
      <c r="XES377" s="50"/>
      <c r="XET377" s="50"/>
      <c r="XEU377" s="50"/>
      <c r="XEV377" s="50"/>
      <c r="XEW377" s="50"/>
      <c r="XEX377" s="50"/>
      <c r="XEY377" s="50"/>
      <c r="XEZ377" s="50"/>
      <c r="XFA377" s="50"/>
      <c r="XFB377" s="50"/>
    </row>
    <row r="378" spans="1:16382" x14ac:dyDescent="0.25">
      <c r="A378" s="82"/>
      <c r="B378" s="82"/>
      <c r="C378" s="82"/>
      <c r="D378" s="82"/>
      <c r="E378" s="82"/>
    </row>
    <row r="380" spans="1:16382" x14ac:dyDescent="0.25">
      <c r="C380" s="57"/>
      <c r="E380" s="57"/>
    </row>
  </sheetData>
  <mergeCells count="2">
    <mergeCell ref="A377:E377"/>
    <mergeCell ref="A378:E378"/>
  </mergeCells>
  <printOptions horizontalCentered="1" verticalCentered="1"/>
  <pageMargins left="0.70866141732283472" right="0.70866141732283472" top="0" bottom="0" header="0.11811023622047245" footer="0.11811023622047245"/>
  <pageSetup paperSize="9" scale="42" fitToHeight="3" orientation="portrait" r:id="rId1"/>
  <rowBreaks count="2" manualBreakCount="2">
    <brk id="108" max="4" man="1"/>
    <brk id="215" max="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%CLASSIFICATIONDATETIME%">14:49 03/10/2022</XMLData>
</file>

<file path=customXml/item2.xml><?xml version="1.0" encoding="utf-8"?>
<XMLData TextToDisplay="%DOCUMENTGUID%">{00000000-0000-0000-0000-000000000000}</XMLData>
</file>

<file path=customXml/item3.xml><?xml version="1.0" encoding="utf-8"?>
<XMLData TextToDisplay="%HOSTNAME%">db193274.tcmb.gov.tr</XMLData>
</file>

<file path=customXml/item4.xml><?xml version="1.0" encoding="utf-8"?>
<XMLData TextToDisplay="%EMAILADDRESS%">Feride.Guclu@tcmb.gov.tr</XMLData>
</file>

<file path=customXml/item5.xml><?xml version="1.0" encoding="utf-8"?>
<XMLData TextToDisplay="RightsWATCHMark">4|TCMB-ISO-DG|{00000000-0000-0000-0000-000000000000}</XMLData>
</file>

<file path=customXml/item6.xml><?xml version="1.0" encoding="utf-8"?>
<XMLData TextToDisplay="%USERNAME%">K012166</XMLData>
</file>

<file path=customXml/itemProps1.xml><?xml version="1.0" encoding="utf-8"?>
<ds:datastoreItem xmlns:ds="http://schemas.openxmlformats.org/officeDocument/2006/customXml" ds:itemID="{F3F51897-3D78-428D-ACF4-1369A70660F3}">
  <ds:schemaRefs/>
</ds:datastoreItem>
</file>

<file path=customXml/itemProps2.xml><?xml version="1.0" encoding="utf-8"?>
<ds:datastoreItem xmlns:ds="http://schemas.openxmlformats.org/officeDocument/2006/customXml" ds:itemID="{71CF8C6B-E7D2-45B1-B8E0-A130ADF0D717}">
  <ds:schemaRefs/>
</ds:datastoreItem>
</file>

<file path=customXml/itemProps3.xml><?xml version="1.0" encoding="utf-8"?>
<ds:datastoreItem xmlns:ds="http://schemas.openxmlformats.org/officeDocument/2006/customXml" ds:itemID="{6D5B4BF8-4447-43C4-8AED-9B5BFDC32229}">
  <ds:schemaRefs/>
</ds:datastoreItem>
</file>

<file path=customXml/itemProps4.xml><?xml version="1.0" encoding="utf-8"?>
<ds:datastoreItem xmlns:ds="http://schemas.openxmlformats.org/officeDocument/2006/customXml" ds:itemID="{478E3692-7E79-41B2-A416-E12E21F750E5}">
  <ds:schemaRefs/>
</ds:datastoreItem>
</file>

<file path=customXml/itemProps5.xml><?xml version="1.0" encoding="utf-8"?>
<ds:datastoreItem xmlns:ds="http://schemas.openxmlformats.org/officeDocument/2006/customXml" ds:itemID="{FB4A2EA4-18D4-487F-AFFE-BBFA6850010C}">
  <ds:schemaRefs/>
</ds:datastoreItem>
</file>

<file path=customXml/itemProps6.xml><?xml version="1.0" encoding="utf-8"?>
<ds:datastoreItem xmlns:ds="http://schemas.openxmlformats.org/officeDocument/2006/customXml" ds:itemID="{07C103BA-23E6-4160-8AE7-AFE3727E4B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HeadingPairs>
  <TitlesOfParts>
    <vt:vector size="19" baseType="lpstr">
      <vt:lpstr>TLZK Kal</vt:lpstr>
      <vt:lpstr>YPZK Kal</vt:lpstr>
      <vt:lpstr>TLZK Tesis</vt:lpstr>
      <vt:lpstr>YPZK Tesis</vt:lpstr>
      <vt:lpstr>ROM Kullanımı</vt:lpstr>
      <vt:lpstr>ZK Ağırlıklı Ortalama Oran</vt:lpstr>
      <vt:lpstr>K9101992</vt:lpstr>
      <vt:lpstr>'ROM Kullanımı'!Print_Area</vt:lpstr>
      <vt:lpstr>'TLZK Kal'!Print_Area</vt:lpstr>
      <vt:lpstr>'TLZK Tesis'!Print_Area</vt:lpstr>
      <vt:lpstr>'YPZK Kal'!Print_Area</vt:lpstr>
      <vt:lpstr>'YPZK Tesis'!Print_Area</vt:lpstr>
      <vt:lpstr>'ZK Ağırlıklı Ortalama Oran'!Print_Area</vt:lpstr>
      <vt:lpstr>'ROM Kullanımı'!Print_Titles</vt:lpstr>
      <vt:lpstr>'TLZK Kal'!Print_Titles</vt:lpstr>
      <vt:lpstr>'TLZK Tesis'!Print_Titles</vt:lpstr>
      <vt:lpstr>'YPZK Kal'!Print_Titles</vt:lpstr>
      <vt:lpstr>'YPZK Tesis'!Print_Titles</vt:lpstr>
      <vt:lpstr>'ZK Ağırlıklı Ortalama Oran'!Print_Titles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UÇ</dc:creator>
  <cp:lastModifiedBy>Nursel Yavuzarslan</cp:lastModifiedBy>
  <cp:lastPrinted>2025-05-12T13:30:59Z</cp:lastPrinted>
  <dcterms:created xsi:type="dcterms:W3CDTF">2013-11-24T16:20:38Z</dcterms:created>
  <dcterms:modified xsi:type="dcterms:W3CDTF">2025-05-12T14:14:00Z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RightsWATCHMark">
    <vt:lpwstr>4|TCMB-ISO-DG|{00000000-0000-0000-0000-000000000000}</vt:lpwstr>
  </property>
  <property fmtid="{D5CDD505-2E9C-101B-9397-08002B2CF9AE}" pid="4" name="Excel_AddedWatermark_PropertyName">
    <vt:lpwstr/>
  </property>
  <property fmtid="{D5CDD505-2E9C-101B-9397-08002B2CF9AE}" pid="5" name="VeriketClassification">
    <vt:lpwstr>FCA16667-98CE-44CD-B8EF-FE69F63F5112</vt:lpwstr>
  </property>
  <property fmtid="{D5CDD505-2E9C-101B-9397-08002B2CF9AE}" pid="6" name="DetectedPolicyPropertyName">
    <vt:lpwstr>a8b79957-7998-4932-95cd-f3d12c7dd257</vt:lpwstr>
  </property>
  <property fmtid="{D5CDD505-2E9C-101B-9397-08002B2CF9AE}" pid="7" name="DetectedKeywordsPropertyName">
    <vt:lpwstr>7969999999,2379999999,7620000001,1009999999,4419999998,3599999996,7830000001,1869999997,8590000002,5780000002,3029999998,8499999996,8689999999,6190000004,4339999999,8809999996,1189999999,0529999998,5959999999,6540000001,0149999999,2930000001,3839999996,6629999999,8030000003,0729999999,4029999999,0690000001,5020000001,4879999999,9519999998,5209999999,6950000001,5810000002,4810000001,1619999995,3650000002,0640000002,6179999998,5839999998,6200000001,6449999986,5500000007,7699999996,1980000008,6889999998,9959999984,4730000002,5860000011,5070000002,4510000004,4414607948,8453153445,9309999999,7080000001,5730000003,6430739059,4469999999,2720000001,9680000001,3460437987,2510000002,2609999999,32600000012,18300000002,68800000002,73200000002,31199999998,81699999998,76299999998,98699999996,96900000004,69121200102,51800000004,4169999999,03700000001,4260000002,3460000001,4360000002,2660000001,4769999997,2580000004,3380000005,3189999999,2220000001,2480000001,3829999994,2420000001,4720000001,3529999999,4569999999,4280000001,3840000001,3320000002,4889999998,4820000001,4540000001,4260000004,2620000001,3760000006,3489999995,4840000002,3629999999,2649999999,3829999999,3489999999,2280000011,0370000014,2289999998,4369999999,2860000001,3540000003,4129999999,4220000003,3929999999,2320000001,2740000002,4424680378,3801723571,4645205954,4785967507,4781874739,2168239784,03800099995,4469999999,2120000001,4240000001,2720000001,4249999998,3460437987,2726918927,5370000014,5410000011,5529999998,5590000004,5610000002,05499999999,5510000002,05300000001,5490000006,5329999989,5390000001,5529999994,5079999999,5439999998,5499999998,0530000003,5349999999,5070000002,5480000004,5537030624,05399999997,05302700002,5331695999,5380000002,5359373807</vt:lpwstr>
  </property>
</Properties>
</file>